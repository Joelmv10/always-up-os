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160" windowHeight="17020" tabRatio="600" firstSheet="0" activeTab="1" autoFilterDateGrouping="1"/>
  </bookViews>
  <sheets>
    <sheet xmlns:r="http://schemas.openxmlformats.org/officeDocument/2006/relationships" name="LEEME" sheetId="1" state="visible" r:id="rId1"/>
    <sheet xmlns:r="http://schemas.openxmlformats.org/officeDocument/2006/relationships" name="Calendario diario" sheetId="2" state="visible" r:id="rId2"/>
    <sheet xmlns:r="http://schemas.openxmlformats.org/officeDocument/2006/relationships" name="Hoy" sheetId="3" state="visible" r:id="rId3"/>
    <sheet xmlns:r="http://schemas.openxmlformats.org/officeDocument/2006/relationships" name="Textos para copiar" sheetId="4" state="visible" r:id="rId4"/>
    <sheet xmlns:r="http://schemas.openxmlformats.org/officeDocument/2006/relationships" name="Plan por servicio" sheetId="5" state="visible" r:id="rId5"/>
    <sheet xmlns:r="http://schemas.openxmlformats.org/officeDocument/2006/relationships" name="Verificación" sheetId="6" state="visible" r:id="rId6"/>
    <sheet xmlns:r="http://schemas.openxmlformats.org/officeDocument/2006/relationships" name="Segmento A - Clubes" sheetId="7" state="visible" r:id="rId7"/>
    <sheet xmlns:r="http://schemas.openxmlformats.org/officeDocument/2006/relationships" name="Segmento B - America" sheetId="8" state="visible" r:id="rId8"/>
    <sheet xmlns:r="http://schemas.openxmlformats.org/officeDocument/2006/relationships" name="Segmento C - Becas" sheetId="9" state="visible" r:id="rId9"/>
    <sheet xmlns:r="http://schemas.openxmlformats.org/officeDocument/2006/relationships" name="Dashboard" sheetId="10" state="visible" r:id="rId10"/>
    <sheet xmlns:r="http://schemas.openxmlformats.org/officeDocument/2006/relationships" name="LinkedIn - Plan diario" sheetId="11" state="visible" r:id="rId11"/>
    <sheet xmlns:r="http://schemas.openxmlformats.org/officeDocument/2006/relationships" name="Oportunidades y notas" sheetId="12" state="visible" r:id="rId12"/>
  </sheets>
  <definedNames>
    <definedName name="_xlnm._FilterDatabase" localSheetId="1" hidden="1">'Calendario diario'!$A$4:$J$139</definedName>
    <definedName name="_xlnm._FilterDatabase" localSheetId="3" hidden="1">'Textos para copiar'!$A$4:$K$51</definedName>
    <definedName name="_xlnm._FilterDatabase" localSheetId="6" hidden="1">'Segmento A - Clubes'!$A$5:$P$17</definedName>
    <definedName name="_xlnm._FilterDatabase" localSheetId="7" hidden="1">'Segmento B - America'!$A$5:$O$13</definedName>
    <definedName name="_xlnm._FilterDatabase" localSheetId="8" hidden="1">'Segmento C - Becas'!$A$5:$K$20</definedName>
    <definedName name="_xlnm._FilterDatabase" localSheetId="11" hidden="1">'Oportunidades y notas'!$A$4:$F$9</definedName>
  </definedNames>
  <calcPr calcId="191029" fullCalcOnLoad="1"/>
</workbook>
</file>

<file path=xl/styles.xml><?xml version="1.0" encoding="utf-8"?>
<styleSheet xmlns="http://schemas.openxmlformats.org/spreadsheetml/2006/main">
  <numFmts count="4">
    <numFmt numFmtId="164" formatCode="dd/mm/yyyy"/>
    <numFmt numFmtId="165" formatCode="DD/MM/YYYY"/>
    <numFmt numFmtId="166" formatCode="YYYY-MM-DD"/>
    <numFmt numFmtId="167" formatCode="yyyy-mm-dd"/>
  </numFmts>
  <fonts count="34">
    <font>
      <name val="Calibri"/>
      <family val="2"/>
      <color theme="1"/>
      <sz val="11"/>
      <scheme val="minor"/>
    </font>
    <font>
      <name val="Arial"/>
      <family val="2"/>
      <b val="1"/>
      <color rgb="FF1F4E78"/>
      <sz val="14"/>
    </font>
    <font>
      <name val="Arial"/>
      <family val="2"/>
      <i val="1"/>
      <color rgb="FF666666"/>
      <sz val="9"/>
    </font>
    <font>
      <name val="Arial"/>
      <family val="2"/>
      <b val="1"/>
      <color rgb="FF0000FF"/>
      <sz val="10"/>
    </font>
    <font>
      <name val="Arial"/>
      <family val="2"/>
      <b val="1"/>
      <color rgb="FFC00000"/>
      <sz val="12"/>
    </font>
    <font>
      <name val="Arial"/>
      <family val="2"/>
      <b val="1"/>
      <color rgb="FFFFFFFF"/>
      <sz val="10"/>
    </font>
    <font>
      <name val="Arial"/>
      <family val="2"/>
      <sz val="10"/>
    </font>
    <font>
      <name val="Arial"/>
      <family val="2"/>
      <b val="1"/>
      <color rgb="FF1F4E78"/>
      <sz val="12"/>
    </font>
    <font>
      <name val="Arial"/>
      <family val="2"/>
      <b val="1"/>
      <sz val="10"/>
    </font>
    <font>
      <name val="Arial"/>
      <family val="2"/>
      <i val="1"/>
      <color rgb="FF7F6000"/>
      <sz val="9"/>
    </font>
    <font>
      <name val="Arial"/>
      <family val="2"/>
      <b val="1"/>
      <color rgb="FF1F4E78"/>
      <sz val="11"/>
    </font>
    <font>
      <name val="Calibri"/>
      <family val="2"/>
      <color rgb="FF000000"/>
      <sz val="10"/>
    </font>
    <font>
      <name val="Calibri"/>
      <family val="2"/>
      <b val="1"/>
      <sz val="10"/>
    </font>
    <font>
      <name val="Calibri"/>
      <family val="2"/>
      <b val="1"/>
      <color rgb="FF0B1F3A"/>
      <sz val="15"/>
    </font>
    <font>
      <name val="Calibri"/>
      <family val="2"/>
      <color rgb="FF444444"/>
      <sz val="10"/>
    </font>
    <font>
      <name val="Calibri"/>
      <family val="2"/>
      <b val="1"/>
      <color rgb="FFFFFFFF"/>
      <sz val="10"/>
    </font>
    <font>
      <name val="Calibri"/>
      <family val="2"/>
      <b val="1"/>
      <color rgb="FFFFFFFF"/>
      <sz val="11"/>
    </font>
    <font>
      <name val="Calibri"/>
      <family val="2"/>
      <b val="1"/>
      <color rgb="FFFFFFFF"/>
      <sz val="11"/>
    </font>
    <font>
      <name val="Calibri"/>
      <family val="2"/>
      <color rgb="FF000000"/>
      <sz val="10"/>
    </font>
    <font>
      <name val="Calibri"/>
      <family val="2"/>
      <b val="1"/>
      <sz val="10"/>
    </font>
    <font>
      <name val="Calibri"/>
      <family val="2"/>
      <i val="1"/>
      <color rgb="FF777777"/>
      <sz val="10"/>
    </font>
    <font>
      <name val="Calibri"/>
      <family val="2"/>
      <sz val="10"/>
    </font>
    <font>
      <name val="Calibri"/>
      <family val="2"/>
      <b val="1"/>
      <color rgb="FF0B1F3A"/>
      <sz val="16"/>
    </font>
    <font>
      <name val="Calibri"/>
      <family val="2"/>
      <i val="1"/>
      <color rgb="FF555555"/>
      <sz val="11"/>
    </font>
    <font>
      <b val="1"/>
      <color rgb="000B1F3A"/>
      <sz val="15"/>
    </font>
    <font>
      <color rgb="00444444"/>
      <sz val="10"/>
    </font>
    <font>
      <b val="1"/>
      <color rgb="00FFFFFF"/>
      <sz val="10"/>
    </font>
    <font>
      <b val="1"/>
      <color rgb="00FFFFFF"/>
    </font>
    <font>
      <b val="1"/>
      <color rgb="00FFFFFF"/>
      <sz val="11"/>
    </font>
    <font>
      <color rgb="00000000"/>
      <sz val="10"/>
    </font>
    <font>
      <b val="1"/>
      <sz val="10"/>
    </font>
    <font>
      <sz val="10"/>
    </font>
    <font>
      <b val="1"/>
      <color rgb="000B1F3A"/>
      <sz val="16"/>
    </font>
    <font>
      <i val="1"/>
      <color rgb="00555555"/>
    </font>
  </fonts>
  <fills count="22">
    <fill>
      <patternFill/>
    </fill>
    <fill>
      <patternFill patternType="gray125"/>
    </fill>
    <fill>
      <patternFill patternType="solid">
        <fgColor rgb="FF1F4E78"/>
      </patternFill>
    </fill>
    <fill>
      <patternFill patternType="solid">
        <fgColor rgb="FFFFF2CC"/>
      </patternFill>
    </fill>
    <fill>
      <patternFill patternType="solid">
        <fgColor rgb="FF0B1F3A"/>
      </patternFill>
    </fill>
    <fill>
      <patternFill patternType="solid">
        <fgColor rgb="FFC8102E"/>
      </patternFill>
    </fill>
    <fill>
      <patternFill patternType="solid">
        <fgColor rgb="FFF2F2F2"/>
      </patternFill>
    </fill>
    <fill>
      <patternFill patternType="solid">
        <fgColor rgb="FFE7F4EA"/>
      </patternFill>
    </fill>
    <fill>
      <patternFill patternType="solid">
        <fgColor rgb="FFE8F1FB"/>
      </patternFill>
    </fill>
    <fill>
      <patternFill patternType="solid">
        <fgColor rgb="FFF3E8FF"/>
      </patternFill>
    </fill>
    <fill>
      <patternFill patternType="solid">
        <fgColor rgb="FFFFF6DD"/>
      </patternFill>
    </fill>
    <fill>
      <patternFill patternType="solid">
        <fgColor rgb="FFFDE9D9"/>
      </patternFill>
    </fill>
    <fill>
      <patternFill patternType="solid">
        <fgColor rgb="FFEEEEEE"/>
      </patternFill>
    </fill>
    <fill>
      <patternFill patternType="solid">
        <fgColor rgb="000B1F3A"/>
      </patternFill>
    </fill>
    <fill>
      <patternFill patternType="solid">
        <fgColor rgb="00C8102E"/>
      </patternFill>
    </fill>
    <fill>
      <patternFill patternType="solid">
        <fgColor rgb="00F2F2F2"/>
      </patternFill>
    </fill>
    <fill>
      <patternFill patternType="solid">
        <fgColor rgb="00E7F4EA"/>
      </patternFill>
    </fill>
    <fill>
      <patternFill patternType="solid">
        <fgColor rgb="00E8F1FB"/>
      </patternFill>
    </fill>
    <fill>
      <patternFill patternType="solid">
        <fgColor rgb="00F3E8FF"/>
      </patternFill>
    </fill>
    <fill>
      <patternFill patternType="solid">
        <fgColor rgb="00FFF6DD"/>
      </patternFill>
    </fill>
    <fill>
      <patternFill patternType="solid">
        <fgColor rgb="00FDE9D9"/>
      </patternFill>
    </fill>
    <fill>
      <patternFill patternType="solid">
        <fgColor rgb="00EEEEEE"/>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2">
    <xf numFmtId="0" fontId="0" fillId="0" borderId="0" pivotButton="0" quotePrefix="0" xfId="0"/>
    <xf numFmtId="164"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xf>
    <xf numFmtId="0" fontId="7" fillId="0" borderId="0" pivotButton="0" quotePrefix="0" xfId="0"/>
    <xf numFmtId="0" fontId="6" fillId="3" borderId="1" applyAlignment="1" pivotButton="0" quotePrefix="0" xfId="0">
      <alignment vertical="top"/>
    </xf>
    <xf numFmtId="0" fontId="8" fillId="0" borderId="0" pivotButton="0" quotePrefix="0" xfId="0"/>
    <xf numFmtId="0" fontId="10" fillId="0" borderId="0" pivotButton="0" quotePrefix="0" xfId="0"/>
    <xf numFmtId="0" fontId="6" fillId="0" borderId="1" applyAlignment="1" pivotButton="0" quotePrefix="0" xfId="0">
      <alignment vertical="top" wrapText="1"/>
    </xf>
    <xf numFmtId="164" fontId="6" fillId="0" borderId="1" applyAlignment="1" pivotButton="0" quotePrefix="0" xfId="0">
      <alignment vertical="top"/>
    </xf>
    <xf numFmtId="49" fontId="6" fillId="0" borderId="1" applyAlignment="1" pivotButton="0" quotePrefix="0" xfId="0">
      <alignment vertical="top" wrapText="1"/>
    </xf>
    <xf numFmtId="0" fontId="5" fillId="2" borderId="0" applyAlignment="1" pivotButton="0" quotePrefix="0" xfId="0">
      <alignment vertical="center" wrapText="1"/>
    </xf>
    <xf numFmtId="0" fontId="22" fillId="0" borderId="0" pivotButton="0" quotePrefix="0" xfId="0"/>
    <xf numFmtId="0" fontId="23" fillId="0" borderId="0" pivotButton="0" quotePrefix="0" xfId="0"/>
    <xf numFmtId="0" fontId="19" fillId="0" borderId="2" applyAlignment="1" pivotButton="0" quotePrefix="0" xfId="0">
      <alignment vertical="top" wrapText="1"/>
    </xf>
    <xf numFmtId="0" fontId="21" fillId="0" borderId="2" applyAlignment="1" pivotButton="0" quotePrefix="0" xfId="0">
      <alignment vertical="top" wrapText="1"/>
    </xf>
    <xf numFmtId="0" fontId="13" fillId="0" borderId="0" pivotButton="0" quotePrefix="0" xfId="0"/>
    <xf numFmtId="0" fontId="15" fillId="4" borderId="2" applyAlignment="1" pivotButton="0" quotePrefix="0" xfId="0">
      <alignment vertical="center" wrapText="1"/>
    </xf>
    <xf numFmtId="0" fontId="16" fillId="4" borderId="2" pivotButton="0" quotePrefix="0" xfId="0"/>
    <xf numFmtId="164" fontId="18" fillId="0" borderId="2" applyAlignment="1" pivotButton="0" quotePrefix="0" xfId="0">
      <alignment vertical="top" wrapText="1"/>
    </xf>
    <xf numFmtId="0" fontId="18" fillId="0" borderId="2" applyAlignment="1" pivotButton="0" quotePrefix="0" xfId="0">
      <alignment vertical="top" wrapText="1"/>
    </xf>
    <xf numFmtId="0" fontId="18" fillId="0" borderId="2" applyAlignment="1" pivotButton="0" quotePrefix="0" xfId="0">
      <alignment horizontal="center" vertical="top"/>
    </xf>
    <xf numFmtId="0" fontId="18" fillId="6" borderId="2" applyAlignment="1" pivotButton="0" quotePrefix="0" xfId="0">
      <alignment vertical="top" wrapText="1"/>
    </xf>
    <xf numFmtId="0" fontId="18" fillId="7" borderId="2" applyAlignment="1" pivotButton="0" quotePrefix="0" xfId="0">
      <alignment vertical="top" wrapText="1"/>
    </xf>
    <xf numFmtId="0" fontId="18" fillId="8" borderId="2" applyAlignment="1" pivotButton="0" quotePrefix="0" xfId="0">
      <alignment vertical="top" wrapText="1"/>
    </xf>
    <xf numFmtId="164" fontId="20"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horizontal="center" vertical="top"/>
    </xf>
    <xf numFmtId="0" fontId="20" fillId="8" borderId="2" applyAlignment="1" pivotButton="0" quotePrefix="0" xfId="0">
      <alignment vertical="top" wrapText="1"/>
    </xf>
    <xf numFmtId="0" fontId="18" fillId="9" borderId="2" applyAlignment="1" pivotButton="0" quotePrefix="0" xfId="0">
      <alignment vertical="top" wrapText="1"/>
    </xf>
    <xf numFmtId="0" fontId="18" fillId="10" borderId="2" applyAlignment="1" pivotButton="0" quotePrefix="0" xfId="0">
      <alignment vertical="top" wrapText="1"/>
    </xf>
    <xf numFmtId="164" fontId="21" fillId="8" borderId="2" applyAlignment="1" pivotButton="0" quotePrefix="0" xfId="0">
      <alignment vertical="top" wrapText="1"/>
    </xf>
    <xf numFmtId="0" fontId="21" fillId="8" borderId="2" applyAlignment="1" pivotButton="0" quotePrefix="0" xfId="0">
      <alignment vertical="top" wrapText="1"/>
    </xf>
    <xf numFmtId="0" fontId="21" fillId="8" borderId="2" applyAlignment="1" pivotButton="0" quotePrefix="0" xfId="0">
      <alignment horizontal="center" vertical="top"/>
    </xf>
    <xf numFmtId="164" fontId="21" fillId="9" borderId="2" applyAlignment="1" pivotButton="0" quotePrefix="0" xfId="0">
      <alignment vertical="top" wrapText="1"/>
    </xf>
    <xf numFmtId="0" fontId="21" fillId="9" borderId="2" applyAlignment="1" pivotButton="0" quotePrefix="0" xfId="0">
      <alignment vertical="top" wrapText="1"/>
    </xf>
    <xf numFmtId="0" fontId="21" fillId="9" borderId="2" applyAlignment="1" pivotButton="0" quotePrefix="0" xfId="0">
      <alignment horizontal="center" vertical="top"/>
    </xf>
    <xf numFmtId="164" fontId="21" fillId="10" borderId="2" applyAlignment="1" pivotButton="0" quotePrefix="0" xfId="0">
      <alignment vertical="top" wrapText="1"/>
    </xf>
    <xf numFmtId="0" fontId="21" fillId="10" borderId="2" applyAlignment="1" pivotButton="0" quotePrefix="0" xfId="0">
      <alignment vertical="top" wrapText="1"/>
    </xf>
    <xf numFmtId="0" fontId="21" fillId="10" borderId="2" applyAlignment="1" pivotButton="0" quotePrefix="0" xfId="0">
      <alignment horizontal="center" vertical="top"/>
    </xf>
    <xf numFmtId="164" fontId="21" fillId="11" borderId="2" applyAlignment="1" pivotButton="0" quotePrefix="0" xfId="0">
      <alignment vertical="top" wrapText="1"/>
    </xf>
    <xf numFmtId="0" fontId="21" fillId="11" borderId="2" applyAlignment="1" pivotButton="0" quotePrefix="0" xfId="0">
      <alignment vertical="top" wrapText="1"/>
    </xf>
    <xf numFmtId="0" fontId="21" fillId="11" borderId="2" applyAlignment="1" pivotButton="0" quotePrefix="0" xfId="0">
      <alignment horizontal="center" vertical="top"/>
    </xf>
    <xf numFmtId="164" fontId="21" fillId="12" borderId="2" applyAlignment="1" pivotButton="0" quotePrefix="0" xfId="0">
      <alignment vertical="top" wrapText="1"/>
    </xf>
    <xf numFmtId="0" fontId="21" fillId="12" borderId="2" applyAlignment="1" pivotButton="0" quotePrefix="0" xfId="0">
      <alignment vertical="top" wrapText="1"/>
    </xf>
    <xf numFmtId="0" fontId="21" fillId="12" borderId="2" applyAlignment="1" pivotButton="0" quotePrefix="0" xfId="0">
      <alignment horizontal="center" vertical="top"/>
    </xf>
    <xf numFmtId="0" fontId="21" fillId="7" borderId="2" applyAlignment="1" pivotButton="0" quotePrefix="0" xfId="0">
      <alignment vertical="top" wrapText="1"/>
    </xf>
    <xf numFmtId="0" fontId="21" fillId="6" borderId="2" applyAlignment="1" pivotButton="0" quotePrefix="0" xfId="0">
      <alignment vertical="top" wrapText="1"/>
    </xf>
    <xf numFmtId="0" fontId="11" fillId="0" borderId="2" applyAlignment="1" pivotButton="0" quotePrefix="0" xfId="0">
      <alignment vertical="top" wrapText="1"/>
    </xf>
    <xf numFmtId="0" fontId="12" fillId="0" borderId="2" applyAlignment="1" pivotButton="0" quotePrefix="0" xfId="0">
      <alignment vertical="top" wrapText="1"/>
    </xf>
    <xf numFmtId="0" fontId="17" fillId="5" borderId="0" pivotButton="0" quotePrefix="0" xfId="0"/>
    <xf numFmtId="0" fontId="0" fillId="0" borderId="0" pivotButton="0" quotePrefix="0" xfId="0"/>
    <xf numFmtId="0" fontId="14" fillId="0" borderId="0" applyAlignment="1" pivotButton="0" quotePrefix="0" xfId="0">
      <alignment vertical="top" wrapText="1"/>
    </xf>
    <xf numFmtId="0" fontId="16" fillId="4"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9" fillId="3" borderId="0" applyAlignment="1" pivotButton="0" quotePrefix="0" xfId="0">
      <alignment vertical="top" wrapText="1"/>
    </xf>
    <xf numFmtId="0" fontId="32" fillId="0" borderId="0" pivotButton="0" quotePrefix="0" xfId="0"/>
    <xf numFmtId="0" fontId="33" fillId="0" borderId="0" pivotButton="0" quotePrefix="0" xfId="0"/>
    <xf numFmtId="0" fontId="27" fillId="13" borderId="0" pivotButton="0" quotePrefix="0" xfId="0"/>
    <xf numFmtId="0" fontId="30" fillId="0" borderId="3" applyAlignment="1" pivotButton="0" quotePrefix="0" xfId="0">
      <alignment vertical="top" wrapText="1"/>
    </xf>
    <xf numFmtId="0" fontId="31" fillId="0" borderId="3" applyAlignment="1" pivotButton="0" quotePrefix="0" xfId="0">
      <alignment vertical="top" wrapText="1"/>
    </xf>
    <xf numFmtId="0" fontId="24" fillId="0" borderId="0" pivotButton="0" quotePrefix="0" xfId="0"/>
    <xf numFmtId="0" fontId="25" fillId="0" borderId="0" applyAlignment="1" pivotButton="0" quotePrefix="0" xfId="0">
      <alignment vertical="top" wrapText="1"/>
    </xf>
    <xf numFmtId="0" fontId="26" fillId="13" borderId="3" applyAlignment="1" pivotButton="0" quotePrefix="0" xfId="0">
      <alignment vertical="center" wrapText="1"/>
    </xf>
    <xf numFmtId="0" fontId="27" fillId="13" borderId="3" pivotButton="0" quotePrefix="0" xfId="0"/>
    <xf numFmtId="0" fontId="28" fillId="14" borderId="0" pivotButton="0" quotePrefix="0" xfId="0"/>
    <xf numFmtId="165" fontId="29" fillId="0" borderId="3" applyAlignment="1" pivotButton="0" quotePrefix="0" xfId="0">
      <alignment vertical="top" wrapText="1"/>
    </xf>
    <xf numFmtId="0" fontId="29" fillId="0" borderId="3" applyAlignment="1" pivotButton="0" quotePrefix="0" xfId="0">
      <alignment vertical="top" wrapText="1"/>
    </xf>
    <xf numFmtId="0" fontId="29" fillId="0" borderId="3" applyAlignment="1" pivotButton="0" quotePrefix="0" xfId="0">
      <alignment horizontal="center" vertical="top"/>
    </xf>
    <xf numFmtId="0" fontId="29" fillId="15" borderId="3" applyAlignment="1" pivotButton="0" quotePrefix="0" xfId="0">
      <alignment vertical="top" wrapText="1"/>
    </xf>
    <xf numFmtId="0" fontId="29" fillId="16" borderId="3" applyAlignment="1" pivotButton="0" quotePrefix="0" xfId="0">
      <alignment vertical="top" wrapText="1"/>
    </xf>
    <xf numFmtId="0" fontId="29" fillId="17" borderId="3" applyAlignment="1" pivotButton="0" quotePrefix="0" xfId="0">
      <alignment vertical="top" wrapText="1"/>
    </xf>
    <xf numFmtId="0" fontId="29" fillId="18" borderId="3" applyAlignment="1" pivotButton="0" quotePrefix="0" xfId="0">
      <alignment vertical="top" wrapText="1"/>
    </xf>
    <xf numFmtId="0" fontId="29" fillId="19" borderId="3" applyAlignment="1" pivotButton="0" quotePrefix="0" xfId="0">
      <alignment vertical="top" wrapText="1"/>
    </xf>
    <xf numFmtId="165" fontId="31" fillId="17" borderId="3" applyAlignment="1" pivotButton="0" quotePrefix="0" xfId="0">
      <alignment vertical="top" wrapText="1"/>
    </xf>
    <xf numFmtId="0" fontId="31" fillId="17" borderId="3" applyAlignment="1" pivotButton="0" quotePrefix="0" xfId="0">
      <alignment vertical="top" wrapText="1"/>
    </xf>
    <xf numFmtId="0" fontId="31" fillId="17" borderId="3" applyAlignment="1" pivotButton="0" quotePrefix="0" xfId="0">
      <alignment horizontal="center" vertical="top"/>
    </xf>
    <xf numFmtId="165" fontId="31" fillId="18" borderId="3" applyAlignment="1" pivotButton="0" quotePrefix="0" xfId="0">
      <alignment vertical="top" wrapText="1"/>
    </xf>
    <xf numFmtId="0" fontId="31" fillId="18" borderId="3" applyAlignment="1" pivotButton="0" quotePrefix="0" xfId="0">
      <alignment vertical="top" wrapText="1"/>
    </xf>
    <xf numFmtId="0" fontId="31" fillId="18" borderId="3" applyAlignment="1" pivotButton="0" quotePrefix="0" xfId="0">
      <alignment horizontal="center" vertical="top"/>
    </xf>
    <xf numFmtId="165" fontId="31" fillId="19" borderId="3" applyAlignment="1" pivotButton="0" quotePrefix="0" xfId="0">
      <alignment vertical="top" wrapText="1"/>
    </xf>
    <xf numFmtId="0" fontId="31" fillId="19" borderId="3" applyAlignment="1" pivotButton="0" quotePrefix="0" xfId="0">
      <alignment vertical="top" wrapText="1"/>
    </xf>
    <xf numFmtId="0" fontId="31" fillId="19" borderId="3" applyAlignment="1" pivotButton="0" quotePrefix="0" xfId="0">
      <alignment horizontal="center" vertical="top"/>
    </xf>
    <xf numFmtId="165" fontId="31" fillId="20" borderId="3" applyAlignment="1" pivotButton="0" quotePrefix="0" xfId="0">
      <alignment vertical="top" wrapText="1"/>
    </xf>
    <xf numFmtId="0" fontId="31" fillId="20" borderId="3" applyAlignment="1" pivotButton="0" quotePrefix="0" xfId="0">
      <alignment vertical="top" wrapText="1"/>
    </xf>
    <xf numFmtId="0" fontId="31" fillId="20" borderId="3" applyAlignment="1" pivotButton="0" quotePrefix="0" xfId="0">
      <alignment horizontal="center" vertical="top"/>
    </xf>
    <xf numFmtId="165" fontId="31" fillId="21" borderId="3" applyAlignment="1" pivotButton="0" quotePrefix="0" xfId="0">
      <alignment vertical="top" wrapText="1"/>
    </xf>
    <xf numFmtId="0" fontId="31" fillId="21" borderId="3" applyAlignment="1" pivotButton="0" quotePrefix="0" xfId="0">
      <alignment vertical="top" wrapText="1"/>
    </xf>
    <xf numFmtId="0" fontId="31" fillId="21" borderId="3" applyAlignment="1" pivotButton="0" quotePrefix="0" xfId="0">
      <alignment horizontal="center" vertical="top"/>
    </xf>
    <xf numFmtId="0" fontId="31" fillId="16" borderId="3" applyAlignment="1" pivotButton="0" quotePrefix="0" xfId="0">
      <alignment vertical="top" wrapText="1"/>
    </xf>
    <xf numFmtId="0" fontId="31" fillId="15" borderId="3" applyAlignment="1" pivotButton="0" quotePrefix="0" xfId="0">
      <alignment vertical="top" wrapText="1"/>
    </xf>
    <xf numFmtId="165" fontId="29" fillId="0" borderId="3" applyAlignment="1" pivotButton="0" quotePrefix="0" xfId="0">
      <alignment vertical="top" wrapText="1"/>
    </xf>
    <xf numFmtId="165" fontId="31" fillId="17" borderId="3" applyAlignment="1" pivotButton="0" quotePrefix="0" xfId="0">
      <alignment vertical="top" wrapText="1"/>
    </xf>
    <xf numFmtId="165" fontId="31" fillId="18" borderId="3" applyAlignment="1" pivotButton="0" quotePrefix="0" xfId="0">
      <alignment vertical="top" wrapText="1"/>
    </xf>
    <xf numFmtId="165" fontId="31" fillId="19" borderId="3" applyAlignment="1" pivotButton="0" quotePrefix="0" xfId="0">
      <alignment vertical="top" wrapText="1"/>
    </xf>
    <xf numFmtId="165" fontId="31" fillId="20" borderId="3" applyAlignment="1" pivotButton="0" quotePrefix="0" xfId="0">
      <alignment vertical="top" wrapText="1"/>
    </xf>
    <xf numFmtId="165" fontId="31" fillId="21" borderId="3" applyAlignment="1" pivotButton="0" quotePrefix="0" xfId="0">
      <alignment vertical="top" wrapText="1"/>
    </xf>
    <xf numFmtId="166" fontId="6" fillId="0" borderId="1" applyAlignment="1" pivotButton="0" quotePrefix="0" xfId="0">
      <alignment vertical="top"/>
    </xf>
    <xf numFmtId="166" fontId="6" fillId="0" borderId="1" applyAlignment="1" pivotButton="0" quotePrefix="0" xfId="0">
      <alignment vertical="top"/>
    </xf>
  </cellXfs>
  <cellStyles count="1">
    <cellStyle name="Normal" xfId="0" builtinId="0"/>
  </cellStyles>
  <dxfs count="6">
    <dxf>
      <font>
        <b val="1"/>
        <color rgb="FFC00000"/>
      </font>
    </dxf>
    <dxf>
      <fill>
        <patternFill patternType="solid">
          <fgColor rgb="FFFFF2CC"/>
          <bgColor rgb="FFFFF2CC"/>
        </patternFill>
      </fill>
    </dxf>
    <dxf>
      <font>
        <strike val="1"/>
        <color rgb="FF999999"/>
      </font>
    </dxf>
    <dxf>
      <font>
        <strike val="1"/>
        <color rgb="00999999"/>
      </font>
    </dxf>
    <dxf>
      <fill>
        <patternFill patternType="solid">
          <fgColor rgb="00FFF2CC"/>
          <bgColor rgb="00FFF2CC"/>
        </patternFill>
      </fill>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8102E"/>
    <outlinePr summaryBelow="1" summaryRight="1"/>
    <pageSetUpPr/>
  </sheetPr>
  <dimension ref="A1:B33"/>
  <sheetViews>
    <sheetView workbookViewId="0">
      <selection activeCell="A1" sqref="A1"/>
    </sheetView>
  </sheetViews>
  <sheetFormatPr baseColWidth="8" defaultRowHeight="15"/>
  <cols>
    <col width="24" customWidth="1" style="52" min="1" max="1"/>
    <col width="110" customWidth="1" style="52" min="2" max="2"/>
  </cols>
  <sheetData>
    <row r="1">
      <c r="A1" s="59" t="inlineStr">
        <is>
          <t>Always Up: CRM y plan de captación</t>
        </is>
      </c>
    </row>
    <row r="2">
      <c r="A2" s="60" t="inlineStr">
        <is>
          <t>Actualizado el 13/10/2026. Primero esta página (2 minutos), luego la pestaña Calendario diario.</t>
        </is>
      </c>
    </row>
    <row r="4" ht="22" customHeight="1" s="52">
      <c r="A4" s="61" t="inlineStr">
        <is>
          <t>TU RUTINA</t>
        </is>
      </c>
    </row>
    <row r="5" ht="20" customHeight="1" s="52">
      <c r="A5" s="62" t="inlineStr">
        <is>
          <t>Cada mañana (15 min)</t>
        </is>
      </c>
      <c r="B5" s="63" t="inlineStr">
        <is>
          <t>Abre Calendario diario. Hoy sale en amarillo. Haz lo que diga, marca Hecho. Revisa bandeja, Instagram y WhatsApp.</t>
        </is>
      </c>
    </row>
    <row r="6" ht="33" customHeight="1" s="52">
      <c r="A6" s="62" t="inlineStr">
        <is>
          <t>La víspera (20 min)</t>
        </is>
      </c>
      <c r="B6" s="63" t="inlineStr">
        <is>
          <t>Prepara los correos del día siguiente. Si tu correo permite programar, déjalos programados. Si no, los envías a mano a las 07:30 de Nueva York. El calendario te dice cuáles y de dónde copiar el texto.</t>
        </is>
      </c>
    </row>
    <row r="7" ht="20" customHeight="1" s="52">
      <c r="A7" s="62" t="inlineStr">
        <is>
          <t>Cada viernes (20 min)</t>
        </is>
      </c>
      <c r="B7" s="63" t="inlineStr">
        <is>
          <t>Revisión semanal: cuéntame respuestas, rebotes y llamadas. Yo actualizo el plan y preparo la siguiente tanda.</t>
        </is>
      </c>
    </row>
    <row r="8" ht="20" customHeight="1" s="52">
      <c r="A8" s="62" t="inlineStr">
        <is>
          <t>Cada lunes (5 min)</t>
        </is>
      </c>
      <c r="B8" s="63" t="inlineStr">
        <is>
          <t>Escríbeme «investiga 10 clubes más». Yo verifico contactos y dejo los correos listos.</t>
        </is>
      </c>
    </row>
    <row r="9" ht="22" customHeight="1" s="52">
      <c r="A9" s="61" t="inlineStr">
        <is>
          <t>PESTAÑAS</t>
        </is>
      </c>
    </row>
    <row r="10" ht="20" customHeight="1" s="52">
      <c r="A10" s="62" t="inlineStr">
        <is>
          <t>Calendario diario</t>
        </is>
      </c>
      <c r="B10" s="63" t="inlineStr">
        <is>
          <t>Tu lista de tareas por día, con hora, pasos y dónde está el texto. Es lo único que necesitas mirar a diario.</t>
        </is>
      </c>
    </row>
    <row r="11" ht="20" customHeight="1" s="52">
      <c r="A11" s="62" t="inlineStr">
        <is>
          <t>Textos para copiar</t>
        </is>
      </c>
      <c r="B11" s="63" t="inlineStr">
        <is>
          <t>Todos los correos, notas de LinkedIn y mensajes, listos para pegar. Incluye respuestas tipo para cuando contesten.</t>
        </is>
      </c>
    </row>
    <row r="12" ht="20" customHeight="1" s="52">
      <c r="A12" s="62" t="inlineStr">
        <is>
          <t>Hoy</t>
        </is>
      </c>
      <c r="B12" s="63" t="inlineStr">
        <is>
          <t>Panel con números (se calculan solos desde las pestañas de segmento).</t>
        </is>
      </c>
    </row>
    <row r="13" ht="20" customHeight="1" s="52">
      <c r="A13" s="62" t="inlineStr">
        <is>
          <t>Plan por servicio</t>
        </is>
      </c>
      <c r="B13" s="63" t="inlineStr">
        <is>
          <t>Cómo conseguimos clientes en cada servicio y en qué orden.</t>
        </is>
      </c>
    </row>
    <row r="14" ht="20" customHeight="1" s="52">
      <c r="A14" s="62" t="inlineStr">
        <is>
          <t>Verificación</t>
        </is>
      </c>
      <c r="B14" s="63" t="inlineStr">
        <is>
          <t>De dónde sale cada email y qué tan fiable es.</t>
        </is>
      </c>
    </row>
    <row r="15" ht="33" customHeight="1" s="52">
      <c r="A15" s="62" t="inlineStr">
        <is>
          <t>Segmento A / B / C</t>
        </is>
      </c>
      <c r="B15" s="63" t="inlineStr">
        <is>
          <t>Las listas de clubes (A), universidades y clubes de América (B) y leads de becas (C). Actualiza Estado y Fecha de último contacto.</t>
        </is>
      </c>
    </row>
    <row r="16" ht="20" customHeight="1" s="52">
      <c r="A16" s="62" t="inlineStr">
        <is>
          <t>Dashboard, LinkedIn, Oportunidades</t>
        </is>
      </c>
      <c r="B16" s="63" t="inlineStr">
        <is>
          <t>Fotos del embudo, registro de LinkedIn y notas sueltas.</t>
        </is>
      </c>
    </row>
    <row r="17" ht="22" customHeight="1" s="52">
      <c r="A17" s="61" t="inlineStr">
        <is>
          <t>COMO Y CUANDO ENVIAR</t>
        </is>
      </c>
    </row>
    <row r="18" ht="33" customHeight="1" s="52">
      <c r="A18" s="62" t="inlineStr">
        <is>
          <t>Qué se ha comprobado (14/10/2026)</t>
        </is>
      </c>
      <c r="B18" s="63" t="inlineStr">
        <is>
          <t>El envío programado con Mail de Apple SÍ sale: llegó con Mail abierto, con Mail cerrado y con el Mac en reposo. Puede retrasarse unos 10 minutos y no avisa. Los correos programados del 14/10 sí salieron (Holbeach, 04:41).</t>
        </is>
      </c>
    </row>
    <row r="19" ht="47.5" customHeight="1" s="52">
      <c r="A19" s="62" t="inlineStr">
        <is>
          <t>Por qué parecía que no salían</t>
        </is>
      </c>
      <c r="B19" s="63" t="inlineStr">
        <is>
          <t>El correo enviado se guarda en carpetas distintas según el programa: 'Sent' (Outlook), 'INBOX.Sent' (servidor) y 'Sent Messages' (Mail). No lo ves donde miras. Para comprobar: Outlook &gt; buscador &gt; escribe el destinatario &gt; All folders.</t>
        </is>
      </c>
    </row>
    <row r="20" ht="33" customHeight="1" s="52">
      <c r="A20" s="62" t="inlineStr">
        <is>
          <t>Cómo se programa</t>
        </is>
      </c>
      <c r="B20" s="63" t="inlineStr">
        <is>
          <t>Mail: correo nuevo, pega todo, flecha junto a Enviar &gt; Enviar más tarde &gt; fecha y hora de la columna 'Programar para (NY)'. Se programa la víspera por la tarde.</t>
        </is>
      </c>
    </row>
    <row r="21" ht="33" customHeight="1" s="52">
      <c r="A21" s="62" t="inlineStr">
        <is>
          <t>Regla para no duplicar</t>
        </is>
      </c>
      <c r="B21" s="63" t="inlineStr">
        <is>
          <t>Una vez programado un correo, no lo envíes a mano. A las 08:00 busca al destinatario en todas las carpetas: si aparece, marca Hecho; solo si no aparece, lo envías a mano.</t>
        </is>
      </c>
    </row>
    <row r="22" ht="33" customHeight="1" s="52">
      <c r="A22" s="62" t="inlineStr">
        <is>
          <t>Control</t>
        </is>
      </c>
      <c r="B22" s="63" t="inlineStr">
        <is>
          <t>La fuente de verdad es esta hoja: columna 'Hecho (fecha real)' de 'Textos para copiar' y el CRM. No dependas de la carpeta Enviados de ningún programa.</t>
        </is>
      </c>
    </row>
    <row r="23" ht="33" customHeight="1" s="52">
      <c r="A23" s="62" t="inlineStr">
        <is>
          <t>Truco opcional</t>
        </is>
      </c>
      <c r="B23" s="63" t="inlineStr">
        <is>
          <t>Pon tu Gmail personal en copia oculta (CCO) de cada correo a un club: recibirás una copia como prueba de que salió, y verás en Gmail si entra en bandeja. El club no lo ve.</t>
        </is>
      </c>
    </row>
    <row r="24" ht="22" customHeight="1" s="52">
      <c r="A24" s="61" t="inlineStr">
        <is>
          <t>TUS FRANJAS DE LLAMADA</t>
        </is>
      </c>
    </row>
    <row r="25" ht="33" customHeight="1" s="52">
      <c r="A25" s="62" t="inlineStr">
        <is>
          <t>Lo que tienes en Calendly (hora Nueva York)</t>
        </is>
      </c>
      <c r="B25" s="63" t="inlineStr">
        <is>
          <t>Dom 12:00 a 17:00 | Lun 17:30 a 21:00 | Mar 13:00 a 19:00 | Mié 11:00 a 12:30 | Jue 17:00 a 21:00 | Vie 14:00 a 18:00 | Sáb no disponible.</t>
        </is>
      </c>
    </row>
    <row r="26" ht="47.5" customHeight="1" s="52">
      <c r="A26" s="62" t="inlineStr">
        <is>
          <t>Clubes de Europa (+5 h en UK e Irlanda, +6 h en Noruega, Francia y Países Bajos; +4 y +5 del 25 al 31/10)</t>
        </is>
      </c>
      <c r="B26" s="63" t="inlineStr">
        <is>
          <t>Sirven: Martes 13:00 a 15:00 (18:00 a 20:00 en UK, buen horario para comités de voluntarios) y Miércoles 11:00 a 12:30 (16:00 a 17:30 en UK). Mal: Lunes y Jueves por la tarde (ya es de madrugada allí), Viernes (noche) y Domingo (tarde de domingo).</t>
        </is>
      </c>
    </row>
    <row r="27" ht="20" customHeight="1" s="52">
      <c r="A27" s="62" t="inlineStr">
        <is>
          <t>Familias de América (México, Latinoamérica, EEUU)</t>
        </is>
      </c>
      <c r="B27" s="63" t="inlineStr">
        <is>
          <t>Sirven: Lunes y Jueves por la tarde y Martes 17:00 a 19:00.</t>
        </is>
      </c>
    </row>
    <row r="28" ht="47.5" customHeight="1" s="52">
      <c r="A28" s="62" t="inlineStr">
        <is>
          <t>Calendly: no hace falta tocarlo</t>
        </is>
      </c>
      <c r="B28" s="63" t="inlineStr">
        <is>
          <t>Calendly enseña a cada persona los huecos en SU hora, y elige ella. Para familias de becas sirve tal cual. Para clubes, lo normal es proponer tú dos horarios concretos de esta tabla en el email de respuesta (más cómodo para ellos y sin herramienta). El enlace queda como alternativa.</t>
        </is>
      </c>
    </row>
    <row r="29" ht="22" customHeight="1" s="52">
      <c r="A29" s="61" t="inlineStr">
        <is>
          <t>REGLAS QUE NO SE ROMPEN</t>
        </is>
      </c>
    </row>
    <row r="30" ht="33" customHeight="1" s="52">
      <c r="A30" s="62" t="inlineStr">
        <is>
          <t>Nunca</t>
        </is>
      </c>
      <c r="B30" s="63" t="inlineStr">
        <is>
          <t>Adjuntos en el primer correo. Nombrar al partner de becas. Prometer becas o fichajes. Inventar urgencia. Discutir precio por escrito sin tu decisión.</t>
        </is>
      </c>
    </row>
    <row r="31" ht="33" customHeight="1" s="52">
      <c r="A31" s="62" t="inlineStr">
        <is>
          <t>Si contestan</t>
        </is>
      </c>
      <c r="B31" s="63" t="inlineStr">
        <is>
          <t>Paras la cadencia de ese club y abres 'Respuestas tipo' (hoja Textos para copiar). Menos de 4 horas de respuesta en horario del club.</t>
        </is>
      </c>
    </row>
    <row r="32" ht="20" customHeight="1" s="52">
      <c r="A32" s="62" t="inlineStr">
        <is>
          <t>Si un correo rebota</t>
        </is>
      </c>
      <c r="B32" s="63" t="inlineStr">
        <is>
          <t>Me lo dices; busco otra dirección del club y te la dejo preparada.</t>
        </is>
      </c>
    </row>
    <row r="33" ht="33" customHeight="1" s="52">
      <c r="A33" s="62" t="inlineStr">
        <is>
          <t>Colores</t>
        </is>
      </c>
      <c r="B33" s="63" t="inlineStr">
        <is>
          <t>Azul claro = email 1, amarillo = follow-up 1, naranja = follow-up 2, gris = cierre, lila = LinkedIn o redes, rojo = pendiente atrasado.</t>
        </is>
      </c>
    </row>
  </sheetData>
  <mergeCells count="5">
    <mergeCell ref="A4:B4"/>
    <mergeCell ref="A24:B24"/>
    <mergeCell ref="A29:B29"/>
    <mergeCell ref="A17:B17"/>
    <mergeCell ref="A9:B9"/>
  </mergeCells>
  <pageMargins left="0.75" right="0.75" top="1" bottom="1" header="0.5" footer="0.5"/>
</worksheet>
</file>

<file path=xl/worksheets/sheet2.xml><?xml version="1.0" encoding="utf-8"?>
<worksheet xmlns="http://schemas.openxmlformats.org/spreadsheetml/2006/main">
  <sheetPr>
    <tabColor rgb="00C8102E"/>
    <outlinePr summaryBelow="1" summaryRight="1"/>
    <pageSetUpPr/>
  </sheetPr>
  <dimension ref="A1:J139"/>
  <sheetViews>
    <sheetView workbookViewId="0">
      <pane ySplit="4" topLeftCell="A5" activePane="bottomLeft" state="frozen"/>
      <selection pane="bottomLeft" activeCell="A1" sqref="A1"/>
    </sheetView>
  </sheetViews>
  <sheetFormatPr baseColWidth="8" defaultRowHeight="15"/>
  <cols>
    <col width="11" customWidth="1" style="52" min="1" max="1"/>
    <col width="11" customWidth="1" style="52" min="2" max="2"/>
    <col width="9" customWidth="1" style="52" min="3" max="3"/>
    <col width="16" customWidth="1" style="52" min="4" max="4"/>
    <col width="40" customWidth="1" style="52" min="5" max="5"/>
    <col width="78" customWidth="1" style="52" min="6" max="6"/>
    <col width="24" customWidth="1" style="52" min="7" max="7"/>
    <col width="6" customWidth="1" style="52" min="8" max="8"/>
    <col width="12" customWidth="1" style="52" min="9" max="9"/>
    <col width="36" customWidth="1" style="52" min="10" max="10"/>
  </cols>
  <sheetData>
    <row r="1" ht="26" customHeight="1" s="52">
      <c r="A1" s="64" t="inlineStr">
        <is>
          <t>Calendario diario: 13 de octubre a 13 de noviembre de 2026</t>
        </is>
      </c>
    </row>
    <row r="2" ht="46" customHeight="1" s="52">
      <c r="A2" s="65" t="inlineStr">
        <is>
          <t>Qué haces tú cada día, a qué hora y cómo. Las horas son de Nueva York. Los correos se programan la víspera en Apple Mail (Enviar más tarde) para las 09:30 de cada club; a las 08:00 compruebas que salieron. Cambia la columna Estado a Hecho al terminar. Hoy se marca en amarillo. Si algo queda Pendiente de un día anterior, sale en rojo.</t>
        </is>
      </c>
    </row>
    <row r="4" ht="30" customHeight="1" s="52">
      <c r="A4" s="66" t="inlineStr">
        <is>
          <t>Fecha</t>
        </is>
      </c>
      <c r="B4" s="66" t="inlineStr">
        <is>
          <t>Día</t>
        </is>
      </c>
      <c r="C4" s="66" t="inlineStr">
        <is>
          <t>Hora (NY)</t>
        </is>
      </c>
      <c r="D4" s="66" t="inlineStr">
        <is>
          <t>Servicio</t>
        </is>
      </c>
      <c r="E4" s="66" t="inlineStr">
        <is>
          <t>Tarea</t>
        </is>
      </c>
      <c r="F4" s="66" t="inlineStr">
        <is>
          <t>Cómo se hace, paso a paso</t>
        </is>
      </c>
      <c r="G4" s="66" t="inlineStr">
        <is>
          <t>Dónde está el texto</t>
        </is>
      </c>
      <c r="H4" s="66" t="inlineStr">
        <is>
          <t>Min</t>
        </is>
      </c>
      <c r="I4" s="66" t="inlineStr">
        <is>
          <t>Estado</t>
        </is>
      </c>
      <c r="J4" s="67" t="inlineStr">
        <is>
          <t>Notas / resultado</t>
        </is>
      </c>
    </row>
    <row r="5" ht="22" customHeight="1" s="52">
      <c r="A5" s="68" t="inlineStr">
        <is>
          <t>SEMANA  12/10 a 18/10</t>
        </is>
      </c>
    </row>
    <row r="6" ht="62" customHeight="1" s="52">
      <c r="A6" s="94" t="n">
        <v>46308</v>
      </c>
      <c r="B6" s="70" t="inlineStr">
        <is>
          <t>Martes</t>
        </is>
      </c>
      <c r="C6" s="71" t="inlineStr">
        <is>
          <t>8:00</t>
        </is>
      </c>
      <c r="D6" s="72" t="inlineStr">
        <is>
          <t>Todos</t>
        </is>
      </c>
      <c r="E6" s="62" t="inlineStr">
        <is>
          <t>Revisión diaria: bandeja, Instagram, WhatsApp</t>
        </is>
      </c>
      <c r="F6"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6" s="70" t="inlineStr">
        <is>
          <t>Textos para copiar (final de la hoja)</t>
        </is>
      </c>
      <c r="H6" s="70" t="n">
        <v>15</v>
      </c>
      <c r="I6" s="70" t="inlineStr">
        <is>
          <t>Hecho</t>
        </is>
      </c>
      <c r="J6" s="70" t="n"/>
    </row>
    <row r="7" ht="33" customHeight="1" s="52">
      <c r="A7" s="94" t="n">
        <v>46308</v>
      </c>
      <c r="B7" s="70" t="inlineStr">
        <is>
          <t>Martes</t>
        </is>
      </c>
      <c r="C7" s="71" t="inlineStr">
        <is>
          <t>Tarde</t>
        </is>
      </c>
      <c r="D7" s="73" t="inlineStr">
        <is>
          <t>Becas</t>
        </is>
      </c>
      <c r="E7" s="62" t="inlineStr">
        <is>
          <t>Omar: anotado el follow-up enviado hoy</t>
        </is>
      </c>
      <c r="F7" s="70" t="inlineStr">
        <is>
          <t>Nada que hacer. Si responde, pásame su mensaje. Si no, el 20/10 envías el último mensaje (ver ese día).</t>
        </is>
      </c>
      <c r="G7" s="70" t="inlineStr">
        <is>
          <t>Segmento C - Becas, fila Omar</t>
        </is>
      </c>
      <c r="H7" s="70" t="n"/>
      <c r="I7" s="70" t="inlineStr">
        <is>
          <t>Hecho</t>
        </is>
      </c>
      <c r="J7" s="70" t="n"/>
    </row>
    <row r="8" ht="91" customHeight="1" s="52">
      <c r="A8" s="94" t="n">
        <v>46308</v>
      </c>
      <c r="B8" s="70" t="inlineStr">
        <is>
          <t>Martes</t>
        </is>
      </c>
      <c r="C8" s="71" t="inlineStr">
        <is>
          <t>21:00</t>
        </is>
      </c>
      <c r="D8" s="72" t="inlineStr">
        <is>
          <t>Transversal</t>
        </is>
      </c>
      <c r="E8" s="62" t="inlineStr">
        <is>
          <t>Prueba de entregabilidad (por qué tus correos caen en spam)</t>
        </is>
      </c>
      <c r="F8" s="70" t="inlineStr">
        <is>
          <t>1) Desde joel.martinez@alwaysup.es manda a tu Gmail personal un correo con texto normal (pega el de Holbeach) y asunto normal. 2) Ábrelo en Gmail &gt; tres puntos &gt; Mostrar original: copia lo que ponga en SPF, DKIM y DMARC (deben decir PASS). 3) Entra en mail-tester.com, copia la dirección que te da, mándale desde alwaysup.es el mismo texto y pulsa 'Then check your score'. Pásame la nota y el resultado de SPF, DKIM y DMARC. No pegues nada más.</t>
        </is>
      </c>
      <c r="G8" s="70" t="inlineStr">
        <is>
          <t>Chat con Claude</t>
        </is>
      </c>
      <c r="H8" s="70" t="n">
        <v>15</v>
      </c>
      <c r="I8" s="70" t="inlineStr">
        <is>
          <t>Hecho</t>
        </is>
      </c>
      <c r="J8" s="70" t="n"/>
    </row>
    <row r="9" ht="47.5" customHeight="1" s="52">
      <c r="A9" s="94" t="n">
        <v>46309</v>
      </c>
      <c r="B9" s="70" t="inlineStr">
        <is>
          <t>Miércoles</t>
        </is>
      </c>
      <c r="C9" s="71" t="inlineStr">
        <is>
          <t>03:30</t>
        </is>
      </c>
      <c r="D9" s="74" t="inlineStr">
        <is>
          <t>Team/Coach</t>
        </is>
      </c>
      <c r="E9" s="62" t="inlineStr">
        <is>
          <t>ENVIAR email 1 a Søreide IL</t>
        </is>
      </c>
      <c r="F9" s="70" t="inlineStr">
        <is>
          <t>Sale a las 03:30 hora Nueva York (09:30 allí) si lo programaste la víspera. No hace falta hacer nada a esta hora. Si es follow-up, se envía respondiendo al correo original (búscalo por destinatario en Outlook o Mail y pulsa Responder).</t>
        </is>
      </c>
      <c r="G9" s="70" t="inlineStr">
        <is>
          <t>Textos para copiar</t>
        </is>
      </c>
      <c r="H9" s="70" t="n"/>
      <c r="I9" s="70" t="inlineStr">
        <is>
          <t>Pendiente</t>
        </is>
      </c>
      <c r="J9" s="70" t="n"/>
    </row>
    <row r="10" ht="47.5" customHeight="1" s="52">
      <c r="A10" s="94" t="n">
        <v>46309</v>
      </c>
      <c r="B10" s="70" t="inlineStr">
        <is>
          <t>Miércoles</t>
        </is>
      </c>
      <c r="C10" s="71" t="inlineStr">
        <is>
          <t>04:30</t>
        </is>
      </c>
      <c r="D10" s="74" t="inlineStr">
        <is>
          <t>Team/Coach</t>
        </is>
      </c>
      <c r="E10" s="62" t="inlineStr">
        <is>
          <t>ENVIAR email 1 a Holbeach United</t>
        </is>
      </c>
      <c r="F10" s="70" t="inlineStr">
        <is>
          <t>Sale a las 04:30 hora Nueva York (09:30 allí) si lo programaste la víspera. No hace falta hacer nada a esta hora. Si es follow-up, se envía respondiendo al correo original (búscalo por destinatario en Outlook o Mail y pulsa Responder).</t>
        </is>
      </c>
      <c r="G10" s="70" t="inlineStr">
        <is>
          <t>Textos para copiar</t>
        </is>
      </c>
      <c r="H10" s="70" t="n"/>
      <c r="I10" s="70" t="inlineStr">
        <is>
          <t>Pendiente</t>
        </is>
      </c>
      <c r="J10" s="70" t="n"/>
    </row>
    <row r="11" ht="62" customHeight="1" s="52">
      <c r="A11" s="94" t="n">
        <v>46309</v>
      </c>
      <c r="B11" s="70" t="inlineStr">
        <is>
          <t>Miércoles</t>
        </is>
      </c>
      <c r="C11" s="71" t="inlineStr">
        <is>
          <t>8:00</t>
        </is>
      </c>
      <c r="D11" s="72" t="inlineStr">
        <is>
          <t>Todos</t>
        </is>
      </c>
      <c r="E11" s="62" t="inlineStr">
        <is>
          <t>Revisión diaria: bandeja, Instagram, WhatsApp</t>
        </is>
      </c>
      <c r="F11"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1" s="70" t="inlineStr">
        <is>
          <t>Textos para copiar (final de la hoja)</t>
        </is>
      </c>
      <c r="H11" s="70" t="n">
        <v>15</v>
      </c>
      <c r="I11" s="70" t="inlineStr">
        <is>
          <t>Hecho</t>
        </is>
      </c>
      <c r="J11" s="70" t="n"/>
    </row>
    <row r="12" ht="76.5" customHeight="1" s="52">
      <c r="A12" s="94" t="n">
        <v>46309</v>
      </c>
      <c r="B12" s="70" t="inlineStr">
        <is>
          <t>Miércoles</t>
        </is>
      </c>
      <c r="C12" s="71" t="inlineStr">
        <is>
          <t>8:00</t>
        </is>
      </c>
      <c r="D12" s="74" t="inlineStr">
        <is>
          <t>Team/Coach</t>
        </is>
      </c>
      <c r="E12" s="62" t="inlineStr">
        <is>
          <t>Confirmar que salieron los correos de hoy y mirar rebotes</t>
        </is>
      </c>
      <c r="F12"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12" s="70" t="inlineStr">
        <is>
          <t>Outlook buscador / Mail Enviados</t>
        </is>
      </c>
      <c r="H12" s="70" t="n">
        <v>10</v>
      </c>
      <c r="I12" s="70" t="inlineStr">
        <is>
          <t>Pendiente</t>
        </is>
      </c>
      <c r="J12" s="70" t="n"/>
    </row>
    <row r="13" ht="62" customHeight="1" s="52">
      <c r="A13" s="94" t="n">
        <v>46309</v>
      </c>
      <c r="B13" s="70" t="inlineStr">
        <is>
          <t>Miércoles</t>
        </is>
      </c>
      <c r="C13" s="71" t="inlineStr">
        <is>
          <t>Libre</t>
        </is>
      </c>
      <c r="D13" s="74" t="inlineStr">
        <is>
          <t>Team/Coach</t>
        </is>
      </c>
      <c r="E13" s="62" t="inlineStr">
        <is>
          <t>Comprobar si Søreide y Holbeach recibieron el correo una o dos veces</t>
        </is>
      </c>
      <c r="F13" s="70" t="inlineStr">
        <is>
          <t>En Outlook: buscador &gt; 'fotball@soreideil.no' y luego 'callum@holbeachunitedacademy.com' &gt; All folders. Cuenta cuántas copias hay y a qué hora salió cada una. Dime el resultado: si hay duplicado, no escribas nada al club (disculparse llama más la atención); solo se responde con naturalidad si ellos lo mencionan.</t>
        </is>
      </c>
      <c r="G13" s="70" t="inlineStr">
        <is>
          <t>Outlook buscador</t>
        </is>
      </c>
      <c r="H13" s="70" t="n">
        <v>5</v>
      </c>
      <c r="I13" s="70" t="inlineStr">
        <is>
          <t>Hecho</t>
        </is>
      </c>
      <c r="J13" s="70" t="inlineStr">
        <is>
          <t>Søreide: 1 envío (14/10 8:34). Holbeach: 2 confirmados (13/10 18:50 y 14/10 4:41) y el de ~8:30 no localizado.</t>
        </is>
      </c>
    </row>
    <row r="14" ht="47.5" customHeight="1" s="52">
      <c r="A14" s="94" t="n">
        <v>46309</v>
      </c>
      <c r="B14" s="70" t="inlineStr">
        <is>
          <t>Miércoles</t>
        </is>
      </c>
      <c r="C14" s="71" t="inlineStr">
        <is>
          <t>Libre</t>
        </is>
      </c>
      <c r="D14" s="72" t="inlineStr">
        <is>
          <t>Transversal</t>
        </is>
      </c>
      <c r="E14" s="62" t="inlineStr">
        <is>
          <t>Opcional: pruebas de envío programado en Apple Mail (máx. 15 min)</t>
        </is>
      </c>
      <c r="F14" s="70" t="inlineStr">
        <is>
          <t>Programa un correo a ti mismo a 10 minutos con (1) Mail abierto y el Mac despierto, (2) Mail cerrado, (3) Mac en reposo. Anota cuál sale. Si ninguno funciona con el Mac apagado, no se programa: se envía a mano a las 07:30.</t>
        </is>
      </c>
      <c r="G14" s="70" t="inlineStr">
        <is>
          <t>Mail de Apple</t>
        </is>
      </c>
      <c r="H14" s="70" t="n">
        <v>15</v>
      </c>
      <c r="I14" s="70" t="inlineStr">
        <is>
          <t>Pendiente</t>
        </is>
      </c>
      <c r="J14" s="70" t="n"/>
    </row>
    <row r="15" ht="76.5" customHeight="1" s="52">
      <c r="A15" s="94" t="n">
        <v>46309</v>
      </c>
      <c r="B15" s="70" t="inlineStr">
        <is>
          <t>Miércoles</t>
        </is>
      </c>
      <c r="C15" s="71" t="inlineStr">
        <is>
          <t>Libre</t>
        </is>
      </c>
      <c r="D15" s="72" t="inlineStr">
        <is>
          <t>Transversal</t>
        </is>
      </c>
      <c r="E15" s="62" t="inlineStr">
        <is>
          <t>Prueba de spam con Microsoft (antes del lote del jueves)</t>
        </is>
      </c>
      <c r="F15" s="70" t="inlineStr">
        <is>
          <t>Tres de los cinco clubes del jueves y Hastings usan correo Microsoft 365, que es el filtro más estricto con dominios nuevos. Manda el correo de Whitehaven (texto normal) a una cuenta Outlook o Hotmail (la tuya, de un amigo o una gratuita que crees tú) y mira si cae en Recibidos o en Correo no deseado. Cuéntame el resultado. Si cae en spam, lo marcas 'No es spam' y repetimos mañana.</t>
        </is>
      </c>
      <c r="G15" s="70" t="inlineStr">
        <is>
          <t>Chat con Claude</t>
        </is>
      </c>
      <c r="H15" s="70" t="n">
        <v>10</v>
      </c>
      <c r="I15" s="70" t="inlineStr">
        <is>
          <t>Pendiente</t>
        </is>
      </c>
      <c r="J15" s="70" t="n"/>
    </row>
    <row r="16" ht="62" customHeight="1" s="52">
      <c r="A16" s="94" t="n">
        <v>46309</v>
      </c>
      <c r="B16" s="70" t="inlineStr">
        <is>
          <t>Miércoles</t>
        </is>
      </c>
      <c r="C16" s="71" t="inlineStr">
        <is>
          <t>12:00</t>
        </is>
      </c>
      <c r="D16" s="73" t="inlineStr">
        <is>
          <t>Becas</t>
        </is>
      </c>
      <c r="E16" s="62" t="inlineStr">
        <is>
          <t>Daniel (MLS NEXT): enviar el follow-up por Instagram</t>
        </is>
      </c>
      <c r="F16" s="70" t="inlineStr">
        <is>
          <t>No contestó a tu mensaje del 21/09. Mi consejo: un único follow-up corto con salida fácil, y si no responde en 7 días, pasarlo a 'Frío'. Texto en 'Respuestas tipo' (Daniel). Mejor entre las 12:00 y las 14:00 de Nueva York (18:00 a 20:00 en España, cuando está libre de clase). Después apunta en el CRM la fecha de envío.</t>
        </is>
      </c>
      <c r="G16" s="70" t="inlineStr">
        <is>
          <t>Textos para copiar (Respuestas tipo)</t>
        </is>
      </c>
      <c r="H16" s="70" t="n">
        <v>5</v>
      </c>
      <c r="I16" s="70" t="inlineStr">
        <is>
          <t>Hecho</t>
        </is>
      </c>
      <c r="J16" s="70" t="inlineStr">
        <is>
          <t>Enviado el 14/10</t>
        </is>
      </c>
    </row>
    <row r="17" ht="163.5" customHeight="1" s="52">
      <c r="A17" s="94" t="n">
        <v>46309</v>
      </c>
      <c r="B17" s="70" t="inlineStr">
        <is>
          <t>Miércoles</t>
        </is>
      </c>
      <c r="C17" s="71" t="inlineStr">
        <is>
          <t>Tarde</t>
        </is>
      </c>
      <c r="D17" s="74" t="inlineStr">
        <is>
          <t>Team/Coach</t>
        </is>
      </c>
      <c r="E17" s="62" t="inlineStr">
        <is>
          <t>Programar en Apple Mail los envíos del jueves 15/10</t>
        </is>
      </c>
      <c r="F17" s="70" t="inlineStr">
        <is>
          <t>Para cada correo: copia Para, Asunto y Texto de la hoja 'Textos para copiar' (filtra por la fecha 15/10). Revisa en 30 segundos: saludo, nombre del club, firma, sin adjuntos. En Mail: flecha junto a Enviar &gt; Enviar más tarde &gt; fecha y hora indicadas.
• IA Akranes | Email 1 | programar para las 05:30 hora Nueva York (09:30 allí)
• Maidstone United | Email 1 | programar para las 04:30 hora Nueva York (09:30 allí)
• Whitehaven AFC | Email 1 | programar para las 04:30 hora Nueva York (09:30 allí)
Regla: una vez programado, NO lo envíes a mano (se duplicaría). Si a las 08:00 no aparece enviado, entonces sí.</t>
        </is>
      </c>
      <c r="G17" s="70" t="inlineStr">
        <is>
          <t>Textos para copiar</t>
        </is>
      </c>
      <c r="H17" s="70" t="n">
        <v>30</v>
      </c>
      <c r="I17" s="70" t="inlineStr">
        <is>
          <t>Hecho</t>
        </is>
      </c>
      <c r="J17" s="70" t="inlineStr">
        <is>
          <t>Programados los 3 (confirmar mañana a las 08:00)</t>
        </is>
      </c>
    </row>
    <row r="18" ht="47.5" customHeight="1" s="52">
      <c r="A18" s="94" t="n">
        <v>46310</v>
      </c>
      <c r="B18" s="70" t="inlineStr">
        <is>
          <t>Jueves</t>
        </is>
      </c>
      <c r="C18" s="71" t="inlineStr">
        <is>
          <t>04:30</t>
        </is>
      </c>
      <c r="D18" s="74" t="inlineStr">
        <is>
          <t>Team/Coach</t>
        </is>
      </c>
      <c r="E18" s="62" t="inlineStr">
        <is>
          <t>ENVIAR email 1 a Maidstone United</t>
        </is>
      </c>
      <c r="F18" s="70" t="inlineStr">
        <is>
          <t>Sale a las 04:30 hora Nueva York (09:30 allí) si lo programaste la víspera. No hace falta hacer nada a esta hora. Si es follow-up, se envía respondiendo al correo original (búscalo por destinatario en Outlook o Mail y pulsa Responder).</t>
        </is>
      </c>
      <c r="G18" s="70" t="inlineStr">
        <is>
          <t>Textos para copiar</t>
        </is>
      </c>
      <c r="H18" s="70" t="n"/>
      <c r="I18" s="70" t="inlineStr">
        <is>
          <t>Pendiente</t>
        </is>
      </c>
      <c r="J18" s="70" t="n"/>
    </row>
    <row r="19" ht="47.5" customHeight="1" s="52">
      <c r="A19" s="94" t="n">
        <v>46310</v>
      </c>
      <c r="B19" s="70" t="inlineStr">
        <is>
          <t>Jueves</t>
        </is>
      </c>
      <c r="C19" s="71" t="inlineStr">
        <is>
          <t>04:30</t>
        </is>
      </c>
      <c r="D19" s="74" t="inlineStr">
        <is>
          <t>Team/Coach</t>
        </is>
      </c>
      <c r="E19" s="62" t="inlineStr">
        <is>
          <t>ENVIAR email 1 a Whitehaven AFC</t>
        </is>
      </c>
      <c r="F19" s="70" t="inlineStr">
        <is>
          <t>Sale a las 04:30 hora Nueva York (09:30 allí) si lo programaste la víspera. No hace falta hacer nada a esta hora. Si es follow-up, se envía respondiendo al correo original (búscalo por destinatario en Outlook o Mail y pulsa Responder).</t>
        </is>
      </c>
      <c r="G19" s="70" t="inlineStr">
        <is>
          <t>Textos para copiar</t>
        </is>
      </c>
      <c r="H19" s="70" t="n"/>
      <c r="I19" s="70" t="inlineStr">
        <is>
          <t>Pendiente</t>
        </is>
      </c>
      <c r="J19" s="70" t="n"/>
    </row>
    <row r="20" ht="47.5" customHeight="1" s="52">
      <c r="A20" s="94" t="n">
        <v>46310</v>
      </c>
      <c r="B20" s="70" t="inlineStr">
        <is>
          <t>Jueves</t>
        </is>
      </c>
      <c r="C20" s="71" t="inlineStr">
        <is>
          <t>05:30</t>
        </is>
      </c>
      <c r="D20" s="74" t="inlineStr">
        <is>
          <t>Team/Coach</t>
        </is>
      </c>
      <c r="E20" s="62" t="inlineStr">
        <is>
          <t>ENVIAR email 1 a IA Akranes</t>
        </is>
      </c>
      <c r="F20" s="70" t="inlineStr">
        <is>
          <t>Sale a las 05:30 hora Nueva York (09:30 allí) si lo programaste la víspera. No hace falta hacer nada a esta hora. Si es follow-up, se envía respondiendo al correo original (búscalo por destinatario en Outlook o Mail y pulsa Responder).</t>
        </is>
      </c>
      <c r="G20" s="70" t="inlineStr">
        <is>
          <t>Textos para copiar</t>
        </is>
      </c>
      <c r="H20" s="70" t="n"/>
      <c r="I20" s="70" t="inlineStr">
        <is>
          <t>Pendiente</t>
        </is>
      </c>
      <c r="J20" s="70" t="n"/>
    </row>
    <row r="21" ht="62" customHeight="1" s="52">
      <c r="A21" s="94" t="n">
        <v>46310</v>
      </c>
      <c r="B21" s="70" t="inlineStr">
        <is>
          <t>Jueves</t>
        </is>
      </c>
      <c r="C21" s="71" t="inlineStr">
        <is>
          <t>8:00</t>
        </is>
      </c>
      <c r="D21" s="72" t="inlineStr">
        <is>
          <t>Todos</t>
        </is>
      </c>
      <c r="E21" s="62" t="inlineStr">
        <is>
          <t>Revisión diaria: bandeja, Instagram, WhatsApp</t>
        </is>
      </c>
      <c r="F21"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21" s="70" t="inlineStr">
        <is>
          <t>Textos para copiar (final de la hoja)</t>
        </is>
      </c>
      <c r="H21" s="70" t="n">
        <v>15</v>
      </c>
      <c r="I21" s="70" t="inlineStr">
        <is>
          <t>Pendiente</t>
        </is>
      </c>
      <c r="J21" s="70" t="n"/>
    </row>
    <row r="22" ht="76.5" customHeight="1" s="52">
      <c r="A22" s="94" t="n">
        <v>46310</v>
      </c>
      <c r="B22" s="70" t="inlineStr">
        <is>
          <t>Jueves</t>
        </is>
      </c>
      <c r="C22" s="71" t="inlineStr">
        <is>
          <t>8:00</t>
        </is>
      </c>
      <c r="D22" s="74" t="inlineStr">
        <is>
          <t>Team/Coach</t>
        </is>
      </c>
      <c r="E22" s="62" t="inlineStr">
        <is>
          <t>Confirmar que salieron los correos de hoy y mirar rebotes</t>
        </is>
      </c>
      <c r="F22"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22" s="70" t="inlineStr">
        <is>
          <t>Outlook buscador / Mail Enviados</t>
        </is>
      </c>
      <c r="H22" s="70" t="n">
        <v>10</v>
      </c>
      <c r="I22" s="70" t="inlineStr">
        <is>
          <t>Pendiente</t>
        </is>
      </c>
      <c r="J22" s="70" t="n"/>
    </row>
    <row r="23" ht="33" customHeight="1" s="52">
      <c r="A23" s="94" t="n">
        <v>46310</v>
      </c>
      <c r="B23" s="70" t="inlineStr">
        <is>
          <t>Jueves</t>
        </is>
      </c>
      <c r="C23" s="71" t="inlineStr">
        <is>
          <t>Libre</t>
        </is>
      </c>
      <c r="D23" s="73" t="inlineStr">
        <is>
          <t>Becas</t>
        </is>
      </c>
      <c r="E23" s="62" t="inlineStr">
        <is>
          <t>Darme tu feedback sobre la ficha de Becas EEUU</t>
        </is>
      </c>
      <c r="F23" s="70" t="inlineStr">
        <is>
          <t>Ábrela (02-sales/assets/Always-Up-Becas-EEUU.pdf) y dime qué cambiarías. Antes de cambiar nada te digo si me parece buena idea.</t>
        </is>
      </c>
      <c r="G23" s="70" t="inlineStr">
        <is>
          <t>02-sales/assets</t>
        </is>
      </c>
      <c r="H23" s="70" t="n">
        <v>15</v>
      </c>
      <c r="I23" s="70" t="inlineStr">
        <is>
          <t>Pendiente</t>
        </is>
      </c>
      <c r="J23" s="70" t="n"/>
    </row>
    <row r="24" ht="33" customHeight="1" s="52">
      <c r="A24" s="94" t="n">
        <v>46310</v>
      </c>
      <c r="B24" s="70" t="inlineStr">
        <is>
          <t>Jueves</t>
        </is>
      </c>
      <c r="C24" s="71" t="inlineStr">
        <is>
          <t>Libre</t>
        </is>
      </c>
      <c r="D24" s="74" t="inlineStr">
        <is>
          <t>Team/Coach</t>
        </is>
      </c>
      <c r="E24" s="62" t="inlineStr">
        <is>
          <t>Pedir al club irlandés testimonio y presentaciones</t>
        </is>
      </c>
      <c r="F24" s="70" t="inlineStr">
        <is>
          <t>Es lo que más puede acelerar ventas: un club que ya compró habla mejor de nosotros que cualquier email. Texto en 'Respuestas tipo'. Puedes mandarlo tú o Enrique.</t>
        </is>
      </c>
      <c r="G24" s="70" t="inlineStr">
        <is>
          <t>Textos para copiar (Respuestas tipo)</t>
        </is>
      </c>
      <c r="H24" s="70" t="n">
        <v>15</v>
      </c>
      <c r="I24" s="70" t="inlineStr">
        <is>
          <t>Pendiente</t>
        </is>
      </c>
      <c r="J24" s="70" t="n"/>
    </row>
    <row r="25" ht="62" customHeight="1" s="52">
      <c r="A25" s="94" t="n">
        <v>46310</v>
      </c>
      <c r="B25" s="70" t="inlineStr">
        <is>
          <t>Jueves</t>
        </is>
      </c>
      <c r="C25" s="71" t="inlineStr">
        <is>
          <t>Libre</t>
        </is>
      </c>
      <c r="D25" s="72" t="inlineStr">
        <is>
          <t>Transversal</t>
        </is>
      </c>
      <c r="E25" s="62" t="inlineStr">
        <is>
          <t>Calentar el dominio: 2 o 3 correos reales más a gente de confianza (ya hiciste 3)</t>
        </is>
      </c>
      <c r="F25" s="70" t="inlineStr">
        <is>
          <t>Escribe desde alwaysup.es a 2 o 3 personas más (familia, amigos, conocidos con Gmail, Outlook o iCloud) un correo normal con una pregunta, y pídeles que respondan. Si caen en spam, que lo marquen como 'No es spam'. Es la forma más rápida de mejorar la reputación de un dominio nuevo.</t>
        </is>
      </c>
      <c r="G25" s="70" t="inlineStr"/>
      <c r="H25" s="70" t="n">
        <v>15</v>
      </c>
      <c r="I25" s="70" t="inlineStr">
        <is>
          <t>Pendiente</t>
        </is>
      </c>
      <c r="J25" s="70" t="n"/>
    </row>
    <row r="26" ht="76.5" customHeight="1" s="52">
      <c r="A26" s="94" t="n">
        <v>46310</v>
      </c>
      <c r="B26" s="70" t="inlineStr">
        <is>
          <t>Jueves</t>
        </is>
      </c>
      <c r="C26" s="71" t="inlineStr">
        <is>
          <t>Libre</t>
        </is>
      </c>
      <c r="D26" s="74" t="inlineStr">
        <is>
          <t>Team/Coach</t>
        </is>
      </c>
      <c r="E26" s="62" t="inlineStr">
        <is>
          <t>LinkedIn: conectar con Georgia Townsend (Hastings United)</t>
        </is>
      </c>
      <c r="F26" s="70" t="inlineStr">
        <is>
          <t>A mano en LinkedIn: perfil de la persona &gt; Conectar &gt; Añadir nota &gt; pegar el texto (máx. 300 caracteres). Si no deja añadir nota, conecta sin nota y manda el texto cuando acepte. Texto: «Hi Georgia, I'm Joel, I run Always Up. We take youth teams to Spain to train with Atlético de Madrid and Real Sociedad. I emailed you this week and thought I'd connect here too. Joel»</t>
        </is>
      </c>
      <c r="G26" s="70" t="inlineStr">
        <is>
          <t>Textos para copiar</t>
        </is>
      </c>
      <c r="H26" s="70" t="n">
        <v>5</v>
      </c>
      <c r="I26" s="70" t="inlineStr">
        <is>
          <t>Pendiente</t>
        </is>
      </c>
      <c r="J26" s="70" t="n"/>
    </row>
    <row r="27" ht="62" customHeight="1" s="52">
      <c r="A27" s="94" t="n">
        <v>46311</v>
      </c>
      <c r="B27" s="70" t="inlineStr">
        <is>
          <t>Viernes</t>
        </is>
      </c>
      <c r="C27" s="71" t="inlineStr">
        <is>
          <t>8:00</t>
        </is>
      </c>
      <c r="D27" s="72" t="inlineStr">
        <is>
          <t>Todos</t>
        </is>
      </c>
      <c r="E27" s="62" t="inlineStr">
        <is>
          <t>Revisión diaria: bandeja, Instagram, WhatsApp</t>
        </is>
      </c>
      <c r="F27"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27" s="70" t="inlineStr">
        <is>
          <t>Textos para copiar (final de la hoja)</t>
        </is>
      </c>
      <c r="H27" s="70" t="n">
        <v>15</v>
      </c>
      <c r="I27" s="70" t="inlineStr">
        <is>
          <t>Pendiente</t>
        </is>
      </c>
      <c r="J27" s="70" t="n"/>
    </row>
    <row r="28" ht="33" customHeight="1" s="52">
      <c r="A28" s="94" t="n">
        <v>46311</v>
      </c>
      <c r="B28" s="70" t="inlineStr">
        <is>
          <t>Viernes</t>
        </is>
      </c>
      <c r="C28" s="71" t="inlineStr">
        <is>
          <t>Libre</t>
        </is>
      </c>
      <c r="D28" s="72" t="inlineStr">
        <is>
          <t>Todos</t>
        </is>
      </c>
      <c r="E28" s="62" t="inlineStr">
        <is>
          <t>Revisión semanal 1: qué ha pasado esta semana</t>
        </is>
      </c>
      <c r="F28" s="70" t="inlineStr">
        <is>
          <t>Mira la hoja Hoy y anota respuestas, rebotes y llamadas. Pásame un resumen de tres líneas: yo ajusto el plan.</t>
        </is>
      </c>
      <c r="G28" s="70" t="inlineStr">
        <is>
          <t>Hoy</t>
        </is>
      </c>
      <c r="H28" s="70" t="n">
        <v>20</v>
      </c>
      <c r="I28" s="70" t="inlineStr">
        <is>
          <t>Pendiente</t>
        </is>
      </c>
      <c r="J28" s="70" t="n"/>
    </row>
    <row r="29" ht="76.5" customHeight="1" s="52">
      <c r="A29" s="94" t="n">
        <v>46311</v>
      </c>
      <c r="B29" s="70" t="inlineStr">
        <is>
          <t>Viernes</t>
        </is>
      </c>
      <c r="C29" s="71" t="inlineStr">
        <is>
          <t>Libre</t>
        </is>
      </c>
      <c r="D29" s="74" t="inlineStr">
        <is>
          <t>Team/Coach</t>
        </is>
      </c>
      <c r="E29" s="62" t="inlineStr">
        <is>
          <t>LinkedIn: conectar con Callum Lawe (Holbeach United)</t>
        </is>
      </c>
      <c r="F29" s="70" t="inlineStr">
        <is>
          <t>A mano en LinkedIn: perfil de la persona &gt; Conectar &gt; Añadir nota &gt; pegar el texto (máx. 300 caracteres). Si no deja añadir nota, conecta sin nota y manda el texto cuando acepte. Texto: «Hi Callum, I'm Joel, I run Always Up. We take youth teams to Spain to train with Atlético de Madrid and Real Sociedad. I emailed you this week and thought I'd connect here too. Joel»</t>
        </is>
      </c>
      <c r="G29" s="70" t="inlineStr">
        <is>
          <t>Textos para copiar</t>
        </is>
      </c>
      <c r="H29" s="70" t="n">
        <v>5</v>
      </c>
      <c r="I29" s="70" t="inlineStr">
        <is>
          <t>Pendiente</t>
        </is>
      </c>
      <c r="J29" s="70" t="n"/>
    </row>
    <row r="30" ht="76.5" customHeight="1" s="52">
      <c r="A30" s="94" t="n">
        <v>46311</v>
      </c>
      <c r="B30" s="70" t="inlineStr">
        <is>
          <t>Viernes</t>
        </is>
      </c>
      <c r="C30" s="71" t="inlineStr">
        <is>
          <t>Libre</t>
        </is>
      </c>
      <c r="D30" s="74" t="inlineStr">
        <is>
          <t>Team/Coach</t>
        </is>
      </c>
      <c r="E30" s="62" t="inlineStr">
        <is>
          <t>LinkedIn: conectar con Marius Engen (Søreide IL)</t>
        </is>
      </c>
      <c r="F30" s="70" t="inlineStr">
        <is>
          <t>A mano en LinkedIn: perfil de la persona &gt; Conectar &gt; Añadir nota &gt; pegar el texto (máx. 300 caracteres). Si no deja añadir nota, conecta sin nota y manda el texto cuando acepte. Texto: «Hi Marius, I'm Joel, I run Always Up. We take youth teams to Spain to train with Atlético de Madrid and Real Sociedad. I emailed you this week and thought I'd connect here too. Joel»</t>
        </is>
      </c>
      <c r="G30" s="70" t="inlineStr">
        <is>
          <t>Textos para copiar</t>
        </is>
      </c>
      <c r="H30" s="70" t="n">
        <v>5</v>
      </c>
      <c r="I30" s="70" t="inlineStr">
        <is>
          <t>Pendiente</t>
        </is>
      </c>
      <c r="J30" s="70" t="n"/>
    </row>
    <row r="31" ht="33" customHeight="1" s="52">
      <c r="A31" s="94" t="n">
        <v>46311</v>
      </c>
      <c r="B31" s="70" t="inlineStr">
        <is>
          <t>Viernes</t>
        </is>
      </c>
      <c r="C31" s="71" t="inlineStr">
        <is>
          <t>Libre</t>
        </is>
      </c>
      <c r="D31" s="72" t="inlineStr">
        <is>
          <t>Todos</t>
        </is>
      </c>
      <c r="E31" s="62" t="inlineStr">
        <is>
          <t>Actualizar el CRM con lo que ha pasado esta semana</t>
        </is>
      </c>
      <c r="F31" s="70" t="inlineStr">
        <is>
          <t>Estado y fecha de último contacto de cada club o lead. Así la hoja Hoy cuenta bien.</t>
        </is>
      </c>
      <c r="G31" s="70" t="inlineStr">
        <is>
          <t>Segmento A, B, C</t>
        </is>
      </c>
      <c r="H31" s="70" t="n">
        <v>15</v>
      </c>
      <c r="I31" s="70" t="inlineStr">
        <is>
          <t>Pendiente</t>
        </is>
      </c>
      <c r="J31" s="70" t="n"/>
    </row>
    <row r="32" ht="47.5" customHeight="1" s="52">
      <c r="A32" s="94" t="n">
        <v>46312</v>
      </c>
      <c r="B32" s="70" t="inlineStr">
        <is>
          <t>Sábado</t>
        </is>
      </c>
      <c r="C32" s="71" t="inlineStr">
        <is>
          <t>Libre</t>
        </is>
      </c>
      <c r="D32" s="75" t="inlineStr">
        <is>
          <t>Instagram</t>
        </is>
      </c>
      <c r="E32" s="62" t="inlineStr">
        <is>
          <t>Sesión de redes sociales y marca personal con Claude (30 a 60 min)</t>
        </is>
      </c>
      <c r="F32" s="70" t="inlineStr">
        <is>
          <t>Objetivo: 10.000 seguidores antes de fin de 2026. Salir con un plan de contenido de 4 semanas. Hasta tener este plan no se publica nada. Sin fotos de menores identificables.</t>
        </is>
      </c>
      <c r="G32" s="70" t="inlineStr">
        <is>
          <t>Chat con Claude</t>
        </is>
      </c>
      <c r="H32" s="70" t="n">
        <v>60</v>
      </c>
      <c r="I32" s="70" t="inlineStr">
        <is>
          <t>Pendiente</t>
        </is>
      </c>
      <c r="J32" s="70" t="n"/>
    </row>
    <row r="33" ht="22" customHeight="1" s="52">
      <c r="A33" s="68" t="inlineStr">
        <is>
          <t>SEMANA  19/10 a 25/10</t>
        </is>
      </c>
    </row>
    <row r="34" ht="62" customHeight="1" s="52">
      <c r="A34" s="94" t="n">
        <v>46314</v>
      </c>
      <c r="B34" s="70" t="inlineStr">
        <is>
          <t>Lunes</t>
        </is>
      </c>
      <c r="C34" s="71" t="inlineStr">
        <is>
          <t>8:00</t>
        </is>
      </c>
      <c r="D34" s="72" t="inlineStr">
        <is>
          <t>Todos</t>
        </is>
      </c>
      <c r="E34" s="62" t="inlineStr">
        <is>
          <t>Revisión diaria: bandeja, Instagram, WhatsApp</t>
        </is>
      </c>
      <c r="F34"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34" s="70" t="inlineStr">
        <is>
          <t>Textos para copiar (final de la hoja)</t>
        </is>
      </c>
      <c r="H34" s="70" t="n">
        <v>15</v>
      </c>
      <c r="I34" s="70" t="inlineStr">
        <is>
          <t>Pendiente</t>
        </is>
      </c>
      <c r="J34" s="70" t="n"/>
    </row>
    <row r="35" ht="33" customHeight="1" s="52">
      <c r="A35" s="94" t="n">
        <v>46314</v>
      </c>
      <c r="B35" s="70" t="inlineStr">
        <is>
          <t>Lunes</t>
        </is>
      </c>
      <c r="C35" s="71" t="inlineStr">
        <is>
          <t>Libre</t>
        </is>
      </c>
      <c r="D35" s="74" t="inlineStr">
        <is>
          <t>Team/Coach</t>
        </is>
      </c>
      <c r="E35" s="62" t="inlineStr">
        <is>
          <t>Pedirme: «investiga 10 clubes más» para la siguiente tanda</t>
        </is>
      </c>
      <c r="F35" s="70" t="inlineStr">
        <is>
          <t>Escríbeme esa frase. Yo verifico decisor y email en la web del club y te dejo los correos listos en esta hoja antes del jueves.</t>
        </is>
      </c>
      <c r="G35" s="70" t="inlineStr">
        <is>
          <t>Chat con Claude</t>
        </is>
      </c>
      <c r="H35" s="70" t="n">
        <v>5</v>
      </c>
      <c r="I35" s="70" t="inlineStr">
        <is>
          <t>Pendiente</t>
        </is>
      </c>
      <c r="J35" s="70" t="n"/>
    </row>
    <row r="36" ht="33" customHeight="1" s="52">
      <c r="A36" s="94" t="n">
        <v>46314</v>
      </c>
      <c r="B36" s="70" t="inlineStr">
        <is>
          <t>Lunes</t>
        </is>
      </c>
      <c r="C36" s="71" t="inlineStr">
        <is>
          <t>Libre</t>
        </is>
      </c>
      <c r="D36" s="73" t="inlineStr">
        <is>
          <t>Becas</t>
        </is>
      </c>
      <c r="E36" s="62" t="inlineStr">
        <is>
          <t>Revisar leads de becas con acción vencida</t>
        </is>
      </c>
      <c r="F36" s="70" t="inlineStr">
        <is>
          <t>Pestaña Segmento C - Becas: ordena por 'Próxima acción'. Contesta o actualiza todo lo atrasado. Aplica las 4 preguntas de cualificación.</t>
        </is>
      </c>
      <c r="G36" s="70" t="inlineStr">
        <is>
          <t>Segmento C - Becas</t>
        </is>
      </c>
      <c r="H36" s="70" t="n">
        <v>20</v>
      </c>
      <c r="I36" s="70" t="inlineStr">
        <is>
          <t>Pendiente</t>
        </is>
      </c>
      <c r="J36" s="70" t="n"/>
    </row>
    <row r="37" ht="76.5" customHeight="1" s="52">
      <c r="A37" s="94" t="n">
        <v>46314</v>
      </c>
      <c r="B37" s="70" t="inlineStr">
        <is>
          <t>Lunes</t>
        </is>
      </c>
      <c r="C37" s="71" t="inlineStr">
        <is>
          <t>Libre</t>
        </is>
      </c>
      <c r="D37" s="74" t="inlineStr">
        <is>
          <t>Team/Coach</t>
        </is>
      </c>
      <c r="E37" s="62" t="inlineStr">
        <is>
          <t>LinkedIn: conectar con Luke Johnston (Whitehaven AFC)</t>
        </is>
      </c>
      <c r="F37" s="70" t="inlineStr">
        <is>
          <t>A mano en LinkedIn: perfil de la persona &gt; Conectar &gt; Añadir nota &gt; pegar el texto (máx. 300 caracteres). Si no deja añadir nota, conecta sin nota y manda el texto cuando acepte. Texto: «Hi Luke, I'm Joel, I run Always Up. We take youth teams to Spain to train with Atlético de Madrid and Real Sociedad. I emailed you this week and thought I'd connect here too. Joel»</t>
        </is>
      </c>
      <c r="G37" s="70" t="inlineStr">
        <is>
          <t>Textos para copiar</t>
        </is>
      </c>
      <c r="H37" s="70" t="n">
        <v>5</v>
      </c>
      <c r="I37" s="70" t="inlineStr">
        <is>
          <t>Pendiente</t>
        </is>
      </c>
      <c r="J37" s="70" t="n"/>
    </row>
    <row r="38" ht="33" customHeight="1" s="52">
      <c r="A38" s="94" t="n">
        <v>46314</v>
      </c>
      <c r="B38" s="70" t="inlineStr">
        <is>
          <t>Lunes</t>
        </is>
      </c>
      <c r="C38" s="71" t="inlineStr">
        <is>
          <t>Libre</t>
        </is>
      </c>
      <c r="D38" s="74" t="inlineStr">
        <is>
          <t>Team/Coach</t>
        </is>
      </c>
      <c r="E38" s="62" t="inlineStr">
        <is>
          <t>LinkedIn: 10 minutos de actividad</t>
        </is>
      </c>
      <c r="F38" s="70" t="inlineStr">
        <is>
          <t>Acepta conexiones, comenta tres publicaciones de entrenadores o clubes con algo de valor (no publicidad). Eso hace que te vean antes de que llegue el email.</t>
        </is>
      </c>
      <c r="G38" s="70" t="inlineStr"/>
      <c r="H38" s="70" t="n">
        <v>10</v>
      </c>
      <c r="I38" s="70" t="inlineStr">
        <is>
          <t>Pendiente</t>
        </is>
      </c>
      <c r="J38" s="70" t="n"/>
    </row>
    <row r="39" ht="192.5" customHeight="1" s="52">
      <c r="A39" s="94" t="n">
        <v>46314</v>
      </c>
      <c r="B39" s="70" t="inlineStr">
        <is>
          <t>Lunes</t>
        </is>
      </c>
      <c r="C39" s="71" t="inlineStr">
        <is>
          <t>Tarde</t>
        </is>
      </c>
      <c r="D39" s="74" t="inlineStr">
        <is>
          <t>Team/Coach</t>
        </is>
      </c>
      <c r="E39" s="62" t="inlineStr">
        <is>
          <t>Programar en Apple Mail los envíos del martes 20/10</t>
        </is>
      </c>
      <c r="F39" s="70" t="inlineStr">
        <is>
          <t>Para cada correo: copia Para, Asunto y Texto de la hoja 'Textos para copiar' (filtra por la fecha 20/10). Revisa en 30 segundos: saludo, nombre del club, firma, sin adjuntos. En Mail: flecha junto a Enviar &gt; Enviar más tarde &gt; fecha y hora indicadas.
• FC Porte d'Aquitaine | Email 1 | programar para las 03:30 hora Nueva York (09:30 allí)
• Hastings United | Follow-up 1 | programar para las 04:30 hora Nueva York (09:30 allí)
• Home Farm FC | Follow-up 1 | programar para las 04:30 hora Nueva York (09:30 allí)
• Virtu Academy | Email 1 | programar para las 04:30 hora Nueva York (09:30 allí)
Regla: una vez programado, NO lo envíes a mano (se duplicaría). Si a las 08:00 no aparece enviado, entonces sí.</t>
        </is>
      </c>
      <c r="G39" s="70" t="inlineStr">
        <is>
          <t>Textos para copiar</t>
        </is>
      </c>
      <c r="H39" s="70" t="n">
        <v>35</v>
      </c>
      <c r="I39" s="70" t="inlineStr">
        <is>
          <t>Pendiente</t>
        </is>
      </c>
      <c r="J39" s="70" t="n"/>
    </row>
    <row r="40" ht="47.5" customHeight="1" s="52">
      <c r="A40" s="94" t="n">
        <v>46315</v>
      </c>
      <c r="B40" s="70" t="inlineStr">
        <is>
          <t>Martes</t>
        </is>
      </c>
      <c r="C40" s="71" t="inlineStr">
        <is>
          <t>03:30</t>
        </is>
      </c>
      <c r="D40" s="74" t="inlineStr">
        <is>
          <t>Team/Coach</t>
        </is>
      </c>
      <c r="E40" s="62" t="inlineStr">
        <is>
          <t>ENVIAR email 1 a FC Porte d'Aquitaine</t>
        </is>
      </c>
      <c r="F40" s="70" t="inlineStr">
        <is>
          <t>Sale a las 03:30 hora Nueva York (09:30 allí) si lo programaste la víspera. No hace falta hacer nada a esta hora. Si es follow-up, se envía respondiendo al correo original (búscalo por destinatario en Outlook o Mail y pulsa Responder).</t>
        </is>
      </c>
      <c r="G40" s="70" t="inlineStr">
        <is>
          <t>Textos para copiar</t>
        </is>
      </c>
      <c r="H40" s="70" t="n"/>
      <c r="I40" s="70" t="inlineStr">
        <is>
          <t>Pendiente</t>
        </is>
      </c>
      <c r="J40" s="70" t="n"/>
    </row>
    <row r="41" ht="47.5" customHeight="1" s="52">
      <c r="A41" s="94" t="n">
        <v>46315</v>
      </c>
      <c r="B41" s="70" t="inlineStr">
        <is>
          <t>Martes</t>
        </is>
      </c>
      <c r="C41" s="71" t="inlineStr">
        <is>
          <t>04:30</t>
        </is>
      </c>
      <c r="D41" s="74" t="inlineStr">
        <is>
          <t>Team/Coach</t>
        </is>
      </c>
      <c r="E41" s="62" t="inlineStr">
        <is>
          <t>ENVIAR follow-up 1 a Hastings United</t>
        </is>
      </c>
      <c r="F41" s="70" t="inlineStr">
        <is>
          <t>Sale a las 04:30 hora Nueva York (09:30 allí) si lo programaste la víspera. No hace falta hacer nada a esta hora. Si es follow-up, se envía respondiendo al correo original (búscalo por destinatario en Outlook o Mail y pulsa Responder).</t>
        </is>
      </c>
      <c r="G41" s="70" t="inlineStr">
        <is>
          <t>Textos para copiar</t>
        </is>
      </c>
      <c r="H41" s="70" t="n"/>
      <c r="I41" s="70" t="inlineStr">
        <is>
          <t>Pendiente</t>
        </is>
      </c>
      <c r="J41" s="70" t="n"/>
    </row>
    <row r="42" ht="47.5" customHeight="1" s="52">
      <c r="A42" s="94" t="n">
        <v>46315</v>
      </c>
      <c r="B42" s="70" t="inlineStr">
        <is>
          <t>Martes</t>
        </is>
      </c>
      <c r="C42" s="71" t="inlineStr">
        <is>
          <t>04:30</t>
        </is>
      </c>
      <c r="D42" s="74" t="inlineStr">
        <is>
          <t>Team/Coach</t>
        </is>
      </c>
      <c r="E42" s="62" t="inlineStr">
        <is>
          <t>ENVIAR follow-up 1 a Home Farm FC</t>
        </is>
      </c>
      <c r="F42" s="70" t="inlineStr">
        <is>
          <t>Sale a las 04:30 hora Nueva York (09:30 allí) si lo programaste la víspera. No hace falta hacer nada a esta hora. Si es follow-up, se envía respondiendo al correo original (búscalo por destinatario en Outlook o Mail y pulsa Responder).</t>
        </is>
      </c>
      <c r="G42" s="70" t="inlineStr">
        <is>
          <t>Textos para copiar</t>
        </is>
      </c>
      <c r="H42" s="70" t="n"/>
      <c r="I42" s="70" t="inlineStr">
        <is>
          <t>Pendiente</t>
        </is>
      </c>
      <c r="J42" s="70" t="n"/>
    </row>
    <row r="43" ht="47.5" customHeight="1" s="52">
      <c r="A43" s="94" t="n">
        <v>46315</v>
      </c>
      <c r="B43" s="70" t="inlineStr">
        <is>
          <t>Martes</t>
        </is>
      </c>
      <c r="C43" s="71" t="inlineStr">
        <is>
          <t>04:30</t>
        </is>
      </c>
      <c r="D43" s="74" t="inlineStr">
        <is>
          <t>Team/Coach</t>
        </is>
      </c>
      <c r="E43" s="62" t="inlineStr">
        <is>
          <t>ENVIAR email 1 a Virtu Academy</t>
        </is>
      </c>
      <c r="F43" s="70" t="inlineStr">
        <is>
          <t>Sale a las 04:30 hora Nueva York (09:30 allí) si lo programaste la víspera. No hace falta hacer nada a esta hora. Si es follow-up, se envía respondiendo al correo original (búscalo por destinatario en Outlook o Mail y pulsa Responder).</t>
        </is>
      </c>
      <c r="G43" s="70" t="inlineStr">
        <is>
          <t>Textos para copiar</t>
        </is>
      </c>
      <c r="H43" s="70" t="n"/>
      <c r="I43" s="70" t="inlineStr">
        <is>
          <t>Pendiente</t>
        </is>
      </c>
      <c r="J43" s="70" t="n"/>
    </row>
    <row r="44" ht="62" customHeight="1" s="52">
      <c r="A44" s="94" t="n">
        <v>46315</v>
      </c>
      <c r="B44" s="70" t="inlineStr">
        <is>
          <t>Martes</t>
        </is>
      </c>
      <c r="C44" s="71" t="inlineStr">
        <is>
          <t>8:00</t>
        </is>
      </c>
      <c r="D44" s="72" t="inlineStr">
        <is>
          <t>Todos</t>
        </is>
      </c>
      <c r="E44" s="62" t="inlineStr">
        <is>
          <t>Revisión diaria: bandeja, Instagram, WhatsApp</t>
        </is>
      </c>
      <c r="F44"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44" s="70" t="inlineStr">
        <is>
          <t>Textos para copiar (final de la hoja)</t>
        </is>
      </c>
      <c r="H44" s="70" t="n">
        <v>15</v>
      </c>
      <c r="I44" s="70" t="inlineStr">
        <is>
          <t>Pendiente</t>
        </is>
      </c>
      <c r="J44" s="70" t="n"/>
    </row>
    <row r="45" ht="76.5" customHeight="1" s="52">
      <c r="A45" s="94" t="n">
        <v>46315</v>
      </c>
      <c r="B45" s="70" t="inlineStr">
        <is>
          <t>Martes</t>
        </is>
      </c>
      <c r="C45" s="71" t="inlineStr">
        <is>
          <t>8:00</t>
        </is>
      </c>
      <c r="D45" s="74" t="inlineStr">
        <is>
          <t>Team/Coach</t>
        </is>
      </c>
      <c r="E45" s="62" t="inlineStr">
        <is>
          <t>Confirmar que salieron los correos de hoy y mirar rebotes</t>
        </is>
      </c>
      <c r="F45"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45" s="70" t="inlineStr">
        <is>
          <t>Outlook buscador / Mail Enviados</t>
        </is>
      </c>
      <c r="H45" s="70" t="n">
        <v>10</v>
      </c>
      <c r="I45" s="70" t="inlineStr">
        <is>
          <t>Pendiente</t>
        </is>
      </c>
      <c r="J45" s="70" t="n"/>
    </row>
    <row r="46" ht="47.5" customHeight="1" s="52">
      <c r="A46" s="94" t="n">
        <v>46315</v>
      </c>
      <c r="B46" s="70" t="inlineStr">
        <is>
          <t>Martes</t>
        </is>
      </c>
      <c r="C46" s="71" t="inlineStr">
        <is>
          <t>Libre</t>
        </is>
      </c>
      <c r="D46" s="73" t="inlineStr">
        <is>
          <t>Becas</t>
        </is>
      </c>
      <c r="E46" s="62" t="inlineStr">
        <is>
          <t>Omar: último mensaje corto si sigue sin contestar</t>
        </is>
      </c>
      <c r="F46" s="70" t="inlineStr">
        <is>
          <t>«Hola Omar, no quiero atosigarte. Si en este momento no es prioridad, no pasa nada, lo dejamos aquí y lo retomamos cuando te venga bien. Si quieres seguir, mándame lo que tengas del vídeo y empezamos.» Después pásalo a 'Frío' en el CRM.</t>
        </is>
      </c>
      <c r="G46" s="70" t="inlineStr">
        <is>
          <t>Segmento C - Becas</t>
        </is>
      </c>
      <c r="H46" s="70" t="n">
        <v>5</v>
      </c>
      <c r="I46" s="70" t="inlineStr">
        <is>
          <t>Pendiente</t>
        </is>
      </c>
      <c r="J46" s="70" t="n"/>
    </row>
    <row r="47" ht="149" customHeight="1" s="52">
      <c r="A47" s="94" t="n">
        <v>46315</v>
      </c>
      <c r="B47" s="70" t="inlineStr">
        <is>
          <t>Martes</t>
        </is>
      </c>
      <c r="C47" s="71" t="inlineStr">
        <is>
          <t>Tarde</t>
        </is>
      </c>
      <c r="D47" s="74" t="inlineStr">
        <is>
          <t>Team/Coach</t>
        </is>
      </c>
      <c r="E47" s="62" t="inlineStr">
        <is>
          <t>Programar en Apple Mail los envíos del miércoles 21/10</t>
        </is>
      </c>
      <c r="F47" s="70" t="inlineStr">
        <is>
          <t>Para cada correo: copia Para, Asunto y Texto de la hoja 'Textos para copiar' (filtra por la fecha 21/10). Revisa en 30 segundos: saludo, nombre del club, firma, sin adjuntos. En Mail: flecha junto a Enviar &gt; Enviar más tarde &gt; fecha y hora indicadas.
• Holbeach United | Follow-up 1 | programar para las 04:30 hora Nueva York (09:30 allí)
• Søreide IL | Follow-up 1 | programar para las 03:30 hora Nueva York (09:30 allí)
Regla: una vez programado, NO lo envíes a mano (se duplicaría). Si a las 08:00 no aparece enviado, entonces sí.</t>
        </is>
      </c>
      <c r="G47" s="70" t="inlineStr">
        <is>
          <t>Textos para copiar</t>
        </is>
      </c>
      <c r="H47" s="70" t="n">
        <v>25</v>
      </c>
      <c r="I47" s="70" t="inlineStr">
        <is>
          <t>Pendiente</t>
        </is>
      </c>
      <c r="J47" s="70" t="n"/>
    </row>
    <row r="48" ht="47.5" customHeight="1" s="52">
      <c r="A48" s="94" t="n">
        <v>46316</v>
      </c>
      <c r="B48" s="70" t="inlineStr">
        <is>
          <t>Miércoles</t>
        </is>
      </c>
      <c r="C48" s="71" t="inlineStr">
        <is>
          <t>03:30</t>
        </is>
      </c>
      <c r="D48" s="74" t="inlineStr">
        <is>
          <t>Team/Coach</t>
        </is>
      </c>
      <c r="E48" s="62" t="inlineStr">
        <is>
          <t>ENVIAR follow-up 1 a Søreide IL</t>
        </is>
      </c>
      <c r="F48" s="70" t="inlineStr">
        <is>
          <t>Sale a las 03:30 hora Nueva York (09:30 allí) si lo programaste la víspera. No hace falta hacer nada a esta hora. Si es follow-up, se envía respondiendo al correo original (búscalo por destinatario en Outlook o Mail y pulsa Responder).</t>
        </is>
      </c>
      <c r="G48" s="70" t="inlineStr">
        <is>
          <t>Textos para copiar</t>
        </is>
      </c>
      <c r="H48" s="70" t="n"/>
      <c r="I48" s="70" t="inlineStr">
        <is>
          <t>Pendiente</t>
        </is>
      </c>
      <c r="J48" s="70" t="n"/>
    </row>
    <row r="49" ht="47.5" customHeight="1" s="52">
      <c r="A49" s="94" t="n">
        <v>46316</v>
      </c>
      <c r="B49" s="70" t="inlineStr">
        <is>
          <t>Miércoles</t>
        </is>
      </c>
      <c r="C49" s="71" t="inlineStr">
        <is>
          <t>04:30</t>
        </is>
      </c>
      <c r="D49" s="74" t="inlineStr">
        <is>
          <t>Team/Coach</t>
        </is>
      </c>
      <c r="E49" s="62" t="inlineStr">
        <is>
          <t>ENVIAR follow-up 1 a Holbeach United</t>
        </is>
      </c>
      <c r="F49" s="70" t="inlineStr">
        <is>
          <t>Sale a las 04:30 hora Nueva York (09:30 allí) si lo programaste la víspera. No hace falta hacer nada a esta hora. Si es follow-up, se envía respondiendo al correo original (búscalo por destinatario en Outlook o Mail y pulsa Responder).</t>
        </is>
      </c>
      <c r="G49" s="70" t="inlineStr">
        <is>
          <t>Textos para copiar</t>
        </is>
      </c>
      <c r="H49" s="70" t="n"/>
      <c r="I49" s="70" t="inlineStr">
        <is>
          <t>Pendiente</t>
        </is>
      </c>
      <c r="J49" s="70" t="n"/>
    </row>
    <row r="50" ht="62" customHeight="1" s="52">
      <c r="A50" s="94" t="n">
        <v>46316</v>
      </c>
      <c r="B50" s="70" t="inlineStr">
        <is>
          <t>Miércoles</t>
        </is>
      </c>
      <c r="C50" s="71" t="inlineStr">
        <is>
          <t>8:00</t>
        </is>
      </c>
      <c r="D50" s="72" t="inlineStr">
        <is>
          <t>Todos</t>
        </is>
      </c>
      <c r="E50" s="62" t="inlineStr">
        <is>
          <t>Revisión diaria: bandeja, Instagram, WhatsApp</t>
        </is>
      </c>
      <c r="F50"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50" s="70" t="inlineStr">
        <is>
          <t>Textos para copiar (final de la hoja)</t>
        </is>
      </c>
      <c r="H50" s="70" t="n">
        <v>15</v>
      </c>
      <c r="I50" s="70" t="inlineStr">
        <is>
          <t>Pendiente</t>
        </is>
      </c>
      <c r="J50" s="70" t="n"/>
    </row>
    <row r="51" ht="76.5" customHeight="1" s="52">
      <c r="A51" s="94" t="n">
        <v>46316</v>
      </c>
      <c r="B51" s="70" t="inlineStr">
        <is>
          <t>Miércoles</t>
        </is>
      </c>
      <c r="C51" s="71" t="inlineStr">
        <is>
          <t>8:00</t>
        </is>
      </c>
      <c r="D51" s="74" t="inlineStr">
        <is>
          <t>Team/Coach</t>
        </is>
      </c>
      <c r="E51" s="62" t="inlineStr">
        <is>
          <t>Confirmar que salieron los correos de hoy y mirar rebotes</t>
        </is>
      </c>
      <c r="F51"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51" s="70" t="inlineStr">
        <is>
          <t>Outlook buscador / Mail Enviados</t>
        </is>
      </c>
      <c r="H51" s="70" t="n">
        <v>10</v>
      </c>
      <c r="I51" s="70" t="inlineStr">
        <is>
          <t>Pendiente</t>
        </is>
      </c>
      <c r="J51" s="70" t="n"/>
    </row>
    <row r="52" ht="178" customHeight="1" s="52">
      <c r="A52" s="94" t="n">
        <v>46316</v>
      </c>
      <c r="B52" s="70" t="inlineStr">
        <is>
          <t>Miércoles</t>
        </is>
      </c>
      <c r="C52" s="71" t="inlineStr">
        <is>
          <t>Tarde</t>
        </is>
      </c>
      <c r="D52" s="74" t="inlineStr">
        <is>
          <t>Team/Coach</t>
        </is>
      </c>
      <c r="E52" s="62" t="inlineStr">
        <is>
          <t>Programar en Apple Mail los envíos del jueves 22/10</t>
        </is>
      </c>
      <c r="F52" s="70" t="inlineStr">
        <is>
          <t>Para cada correo: copia Para, Asunto y Texto de la hoja 'Textos para copiar' (filtra por la fecha 22/10). Revisa en 30 segundos: saludo, nombre del club, firma, sin adjuntos. En Mail: flecha junto a Enviar &gt; Enviar más tarde &gt; fecha y hora indicadas.
• IA Akranes | Follow-up 1 | programar para las 05:30 hora Nueva York (09:30 allí)
• Maidstone United | Follow-up 1 | programar para las 04:30 hora Nueva York (09:30 allí)
• Whitehaven AFC | Follow-up 1 | programar para las 04:30 hora Nueva York (09:30 allí)
Regla: una vez programado, NO lo envíes a mano (se duplicaría). Si a las 08:00 no aparece enviado, entonces sí.</t>
        </is>
      </c>
      <c r="G52" s="70" t="inlineStr">
        <is>
          <t>Textos para copiar</t>
        </is>
      </c>
      <c r="H52" s="70" t="n">
        <v>30</v>
      </c>
      <c r="I52" s="70" t="inlineStr">
        <is>
          <t>Pendiente</t>
        </is>
      </c>
      <c r="J52" s="70" t="n"/>
    </row>
    <row r="53" ht="47.5" customHeight="1" s="52">
      <c r="A53" s="94" t="n">
        <v>46317</v>
      </c>
      <c r="B53" s="70" t="inlineStr">
        <is>
          <t>Jueves</t>
        </is>
      </c>
      <c r="C53" s="71" t="inlineStr">
        <is>
          <t>04:30</t>
        </is>
      </c>
      <c r="D53" s="74" t="inlineStr">
        <is>
          <t>Team/Coach</t>
        </is>
      </c>
      <c r="E53" s="62" t="inlineStr">
        <is>
          <t>ENVIAR follow-up 1 a Maidstone United</t>
        </is>
      </c>
      <c r="F53" s="70" t="inlineStr">
        <is>
          <t>Sale a las 04:30 hora Nueva York (09:30 allí) si lo programaste la víspera. No hace falta hacer nada a esta hora. Si es follow-up, se envía respondiendo al correo original (búscalo por destinatario en Outlook o Mail y pulsa Responder).</t>
        </is>
      </c>
      <c r="G53" s="70" t="inlineStr">
        <is>
          <t>Textos para copiar</t>
        </is>
      </c>
      <c r="H53" s="70" t="n"/>
      <c r="I53" s="70" t="inlineStr">
        <is>
          <t>Pendiente</t>
        </is>
      </c>
      <c r="J53" s="70" t="n"/>
    </row>
    <row r="54" ht="47.5" customHeight="1" s="52">
      <c r="A54" s="94" t="n">
        <v>46317</v>
      </c>
      <c r="B54" s="70" t="inlineStr">
        <is>
          <t>Jueves</t>
        </is>
      </c>
      <c r="C54" s="71" t="inlineStr">
        <is>
          <t>04:30</t>
        </is>
      </c>
      <c r="D54" s="74" t="inlineStr">
        <is>
          <t>Team/Coach</t>
        </is>
      </c>
      <c r="E54" s="62" t="inlineStr">
        <is>
          <t>ENVIAR follow-up 1 a Whitehaven AFC</t>
        </is>
      </c>
      <c r="F54" s="70" t="inlineStr">
        <is>
          <t>Sale a las 04:30 hora Nueva York (09:30 allí) si lo programaste la víspera. No hace falta hacer nada a esta hora. Si es follow-up, se envía respondiendo al correo original (búscalo por destinatario en Outlook o Mail y pulsa Responder).</t>
        </is>
      </c>
      <c r="G54" s="70" t="inlineStr">
        <is>
          <t>Textos para copiar</t>
        </is>
      </c>
      <c r="H54" s="70" t="n"/>
      <c r="I54" s="70" t="inlineStr">
        <is>
          <t>Pendiente</t>
        </is>
      </c>
      <c r="J54" s="70" t="n"/>
    </row>
    <row r="55" ht="47.5" customHeight="1" s="52">
      <c r="A55" s="94" t="n">
        <v>46317</v>
      </c>
      <c r="B55" s="70" t="inlineStr">
        <is>
          <t>Jueves</t>
        </is>
      </c>
      <c r="C55" s="71" t="inlineStr">
        <is>
          <t>05:30</t>
        </is>
      </c>
      <c r="D55" s="74" t="inlineStr">
        <is>
          <t>Team/Coach</t>
        </is>
      </c>
      <c r="E55" s="62" t="inlineStr">
        <is>
          <t>ENVIAR follow-up 1 a IA Akranes</t>
        </is>
      </c>
      <c r="F55" s="70" t="inlineStr">
        <is>
          <t>Sale a las 05:30 hora Nueva York (09:30 allí) si lo programaste la víspera. No hace falta hacer nada a esta hora. Si es follow-up, se envía respondiendo al correo original (búscalo por destinatario en Outlook o Mail y pulsa Responder).</t>
        </is>
      </c>
      <c r="G55" s="70" t="inlineStr">
        <is>
          <t>Textos para copiar</t>
        </is>
      </c>
      <c r="H55" s="70" t="n"/>
      <c r="I55" s="70" t="inlineStr">
        <is>
          <t>Pendiente</t>
        </is>
      </c>
      <c r="J55" s="70" t="n"/>
    </row>
    <row r="56" ht="62" customHeight="1" s="52">
      <c r="A56" s="94" t="n">
        <v>46317</v>
      </c>
      <c r="B56" s="70" t="inlineStr">
        <is>
          <t>Jueves</t>
        </is>
      </c>
      <c r="C56" s="71" t="inlineStr">
        <is>
          <t>8:00</t>
        </is>
      </c>
      <c r="D56" s="72" t="inlineStr">
        <is>
          <t>Todos</t>
        </is>
      </c>
      <c r="E56" s="62" t="inlineStr">
        <is>
          <t>Revisión diaria: bandeja, Instagram, WhatsApp</t>
        </is>
      </c>
      <c r="F56"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56" s="70" t="inlineStr">
        <is>
          <t>Textos para copiar (final de la hoja)</t>
        </is>
      </c>
      <c r="H56" s="70" t="n">
        <v>15</v>
      </c>
      <c r="I56" s="70" t="inlineStr">
        <is>
          <t>Pendiente</t>
        </is>
      </c>
      <c r="J56" s="70" t="n"/>
    </row>
    <row r="57" ht="76.5" customHeight="1" s="52">
      <c r="A57" s="94" t="n">
        <v>46317</v>
      </c>
      <c r="B57" s="70" t="inlineStr">
        <is>
          <t>Jueves</t>
        </is>
      </c>
      <c r="C57" s="71" t="inlineStr">
        <is>
          <t>8:00</t>
        </is>
      </c>
      <c r="D57" s="74" t="inlineStr">
        <is>
          <t>Team/Coach</t>
        </is>
      </c>
      <c r="E57" s="62" t="inlineStr">
        <is>
          <t>Confirmar que salieron los correos de hoy y mirar rebotes</t>
        </is>
      </c>
      <c r="F57"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57" s="70" t="inlineStr">
        <is>
          <t>Outlook buscador / Mail Enviados</t>
        </is>
      </c>
      <c r="H57" s="70" t="n">
        <v>10</v>
      </c>
      <c r="I57" s="70" t="inlineStr">
        <is>
          <t>Pendiente</t>
        </is>
      </c>
      <c r="J57" s="70" t="n"/>
    </row>
    <row r="58" ht="47.5" customHeight="1" s="52">
      <c r="A58" s="94" t="n">
        <v>46317</v>
      </c>
      <c r="B58" s="70" t="inlineStr">
        <is>
          <t>Jueves</t>
        </is>
      </c>
      <c r="C58" s="71" t="inlineStr">
        <is>
          <t>Libre</t>
        </is>
      </c>
      <c r="D58" s="74" t="inlineStr">
        <is>
          <t>Team/Coach</t>
        </is>
      </c>
      <c r="E58" s="62" t="inlineStr">
        <is>
          <t>Preguntar a Atlético y Real Sociedad por las fechas reales de Semana Santa y verano 2027</t>
        </is>
      </c>
      <c r="F58" s="70" t="inlineStr">
        <is>
          <t>Necesitamos saber qué semanas hay disponibles y hasta cuándo se pueden reservar. Con eso tendremos urgencia real y honesta para los follow-ups (hoy no la tenemos). Puede hacerlo Enrique.</t>
        </is>
      </c>
      <c r="G58" s="70" t="inlineStr"/>
      <c r="H58" s="70" t="n">
        <v>20</v>
      </c>
      <c r="I58" s="70" t="inlineStr">
        <is>
          <t>Pendiente</t>
        </is>
      </c>
      <c r="J58" s="70" t="n"/>
    </row>
    <row r="59" ht="62" customHeight="1" s="52">
      <c r="A59" s="94" t="n">
        <v>46318</v>
      </c>
      <c r="B59" s="70" t="inlineStr">
        <is>
          <t>Viernes</t>
        </is>
      </c>
      <c r="C59" s="71" t="inlineStr">
        <is>
          <t>8:00</t>
        </is>
      </c>
      <c r="D59" s="72" t="inlineStr">
        <is>
          <t>Todos</t>
        </is>
      </c>
      <c r="E59" s="62" t="inlineStr">
        <is>
          <t>Revisión diaria: bandeja, Instagram, WhatsApp</t>
        </is>
      </c>
      <c r="F59"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59" s="70" t="inlineStr">
        <is>
          <t>Textos para copiar (final de la hoja)</t>
        </is>
      </c>
      <c r="H59" s="70" t="n">
        <v>15</v>
      </c>
      <c r="I59" s="70" t="inlineStr">
        <is>
          <t>Pendiente</t>
        </is>
      </c>
      <c r="J59" s="70" t="n"/>
    </row>
    <row r="60" ht="62" customHeight="1" s="52">
      <c r="A60" s="94" t="n">
        <v>46318</v>
      </c>
      <c r="B60" s="70" t="inlineStr">
        <is>
          <t>Viernes</t>
        </is>
      </c>
      <c r="C60" s="71" t="inlineStr">
        <is>
          <t>Libre</t>
        </is>
      </c>
      <c r="D60" s="72" t="inlineStr">
        <is>
          <t>Todos</t>
        </is>
      </c>
      <c r="E60" s="62" t="inlineStr">
        <is>
          <t>Sesión con Enrique: política de anticipo y Campus Internacional</t>
        </is>
      </c>
      <c r="F60" s="70" t="inlineStr">
        <is>
          <t>Dos decisiones: (1) qué anticipo pedimos para reservar fechas (sugiero 20 a 30 % con condiciones de cancelación escritas) y qué dice el contrato sobre menores y seguros; (2) estructura A o B del Campus Internacional con ATM y RS y quién asume el riesgo de plazas. Sin esto, las llamadas acaban en «lo pensamos».</t>
        </is>
      </c>
      <c r="G60" s="70" t="inlineStr">
        <is>
          <t>plan-outreach-30-dias.md sección 7</t>
        </is>
      </c>
      <c r="H60" s="70" t="n">
        <v>45</v>
      </c>
      <c r="I60" s="70" t="inlineStr">
        <is>
          <t>Pendiente</t>
        </is>
      </c>
      <c r="J60" s="70" t="n"/>
    </row>
    <row r="61" ht="33" customHeight="1" s="52">
      <c r="A61" s="94" t="n">
        <v>46318</v>
      </c>
      <c r="B61" s="70" t="inlineStr">
        <is>
          <t>Viernes</t>
        </is>
      </c>
      <c r="C61" s="71" t="inlineStr">
        <is>
          <t>Libre</t>
        </is>
      </c>
      <c r="D61" s="76" t="inlineStr">
        <is>
          <t>International Program</t>
        </is>
      </c>
      <c r="E61" s="62" t="inlineStr">
        <is>
          <t>Preguntar a Real Sociedad por plazas y plazos del International Program 2027</t>
        </is>
      </c>
      <c r="F61" s="70" t="inlineStr">
        <is>
          <t>Para poder vender con fechas límite reales. Lo puede preguntar Enrique en la misma conversación.</t>
        </is>
      </c>
      <c r="G61" s="70" t="inlineStr"/>
      <c r="H61" s="70" t="n">
        <v>10</v>
      </c>
      <c r="I61" s="70" t="inlineStr">
        <is>
          <t>Pendiente</t>
        </is>
      </c>
      <c r="J61" s="70" t="n"/>
    </row>
    <row r="62" ht="33" customHeight="1" s="52">
      <c r="A62" s="94" t="n">
        <v>46318</v>
      </c>
      <c r="B62" s="70" t="inlineStr">
        <is>
          <t>Viernes</t>
        </is>
      </c>
      <c r="C62" s="71" t="inlineStr">
        <is>
          <t>Libre</t>
        </is>
      </c>
      <c r="D62" s="72" t="inlineStr">
        <is>
          <t>Todos</t>
        </is>
      </c>
      <c r="E62" s="62" t="inlineStr">
        <is>
          <t>Actualizar el CRM con lo que ha pasado esta semana</t>
        </is>
      </c>
      <c r="F62" s="70" t="inlineStr">
        <is>
          <t>Estado y fecha de último contacto de cada club o lead. Así la hoja Hoy cuenta bien.</t>
        </is>
      </c>
      <c r="G62" s="70" t="inlineStr">
        <is>
          <t>Segmento A, B, C</t>
        </is>
      </c>
      <c r="H62" s="70" t="n">
        <v>15</v>
      </c>
      <c r="I62" s="70" t="inlineStr">
        <is>
          <t>Pendiente</t>
        </is>
      </c>
      <c r="J62" s="70" t="n"/>
    </row>
    <row r="63" ht="33" customHeight="1" s="52">
      <c r="A63" s="94" t="n">
        <v>46319</v>
      </c>
      <c r="B63" s="70" t="inlineStr">
        <is>
          <t>Sábado</t>
        </is>
      </c>
      <c r="C63" s="71" t="inlineStr">
        <is>
          <t>Libre</t>
        </is>
      </c>
      <c r="D63" s="76" t="inlineStr">
        <is>
          <t>GEE / Fichas</t>
        </is>
      </c>
      <c r="E63" s="62" t="inlineStr">
        <is>
          <t>Revisar las nuevas fichas (GEE, Campus Internacional, International Program)</t>
        </is>
      </c>
      <c r="F63" s="70" t="inlineStr">
        <is>
          <t>Las preparo yo tras tu feedback de la ficha de Becas. Tú revisas y me dices qué cambiar.</t>
        </is>
      </c>
      <c r="G63" s="70" t="inlineStr">
        <is>
          <t>02-sales/assets</t>
        </is>
      </c>
      <c r="H63" s="70" t="n">
        <v>30</v>
      </c>
      <c r="I63" s="70" t="inlineStr">
        <is>
          <t>Pendiente</t>
        </is>
      </c>
      <c r="J63" s="70" t="n"/>
    </row>
    <row r="64" ht="22" customHeight="1" s="52">
      <c r="A64" s="68" t="inlineStr">
        <is>
          <t>SEMANA  26/10 a 01/11</t>
        </is>
      </c>
    </row>
    <row r="65" ht="62" customHeight="1" s="52">
      <c r="A65" s="94" t="n">
        <v>46321</v>
      </c>
      <c r="B65" s="70" t="inlineStr">
        <is>
          <t>Lunes</t>
        </is>
      </c>
      <c r="C65" s="71" t="inlineStr">
        <is>
          <t>8:00</t>
        </is>
      </c>
      <c r="D65" s="72" t="inlineStr">
        <is>
          <t>Todos</t>
        </is>
      </c>
      <c r="E65" s="62" t="inlineStr">
        <is>
          <t>Revisión diaria: bandeja, Instagram, WhatsApp</t>
        </is>
      </c>
      <c r="F65"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65" s="70" t="inlineStr">
        <is>
          <t>Textos para copiar (final de la hoja)</t>
        </is>
      </c>
      <c r="H65" s="70" t="n">
        <v>15</v>
      </c>
      <c r="I65" s="70" t="inlineStr">
        <is>
          <t>Pendiente</t>
        </is>
      </c>
      <c r="J65" s="70" t="n"/>
    </row>
    <row r="66" ht="33" customHeight="1" s="52">
      <c r="A66" s="94" t="n">
        <v>46321</v>
      </c>
      <c r="B66" s="70" t="inlineStr">
        <is>
          <t>Lunes</t>
        </is>
      </c>
      <c r="C66" s="71" t="inlineStr">
        <is>
          <t>Libre</t>
        </is>
      </c>
      <c r="D66" s="74" t="inlineStr">
        <is>
          <t>Team/Coach</t>
        </is>
      </c>
      <c r="E66" s="62" t="inlineStr">
        <is>
          <t>Pedirme: «investiga 10 clubes más» para la siguiente tanda</t>
        </is>
      </c>
      <c r="F66" s="70" t="inlineStr">
        <is>
          <t>Escríbeme esa frase. Yo verifico decisor y email en la web del club y te dejo los correos listos en esta hoja antes del jueves.</t>
        </is>
      </c>
      <c r="G66" s="70" t="inlineStr">
        <is>
          <t>Chat con Claude</t>
        </is>
      </c>
      <c r="H66" s="70" t="n">
        <v>5</v>
      </c>
      <c r="I66" s="70" t="inlineStr">
        <is>
          <t>Pendiente</t>
        </is>
      </c>
      <c r="J66" s="70" t="n"/>
    </row>
    <row r="67" ht="33" customHeight="1" s="52">
      <c r="A67" s="94" t="n">
        <v>46321</v>
      </c>
      <c r="B67" s="70" t="inlineStr">
        <is>
          <t>Lunes</t>
        </is>
      </c>
      <c r="C67" s="71" t="inlineStr">
        <is>
          <t>Libre</t>
        </is>
      </c>
      <c r="D67" s="73" t="inlineStr">
        <is>
          <t>Becas</t>
        </is>
      </c>
      <c r="E67" s="62" t="inlineStr">
        <is>
          <t>Revisar leads de becas con acción vencida</t>
        </is>
      </c>
      <c r="F67" s="70" t="inlineStr">
        <is>
          <t>Pestaña Segmento C - Becas: ordena por 'Próxima acción'. Contesta o actualiza todo lo atrasado. Aplica las 4 preguntas de cualificación.</t>
        </is>
      </c>
      <c r="G67" s="70" t="inlineStr">
        <is>
          <t>Segmento C - Becas</t>
        </is>
      </c>
      <c r="H67" s="70" t="n">
        <v>20</v>
      </c>
      <c r="I67" s="70" t="inlineStr">
        <is>
          <t>Pendiente</t>
        </is>
      </c>
      <c r="J67" s="70" t="n"/>
    </row>
    <row r="68" ht="33" customHeight="1" s="52">
      <c r="A68" s="94" t="n">
        <v>46321</v>
      </c>
      <c r="B68" s="70" t="inlineStr">
        <is>
          <t>Lunes</t>
        </is>
      </c>
      <c r="C68" s="71" t="inlineStr">
        <is>
          <t>Libre</t>
        </is>
      </c>
      <c r="D68" s="76" t="inlineStr">
        <is>
          <t>Campus Internacional</t>
        </is>
      </c>
      <c r="E68" s="62" t="inlineStr">
        <is>
          <t>Retomar los contactos cálidos del Campus Internacional (Bélgica y Puerto Rico/SADE)</t>
        </is>
      </c>
      <c r="F68" s="70" t="inlineStr">
        <is>
          <t>Escríbeme cómo está cada uno. Con la decisión de la sesión del 23/10 les contestamos con una propuesta clara. No hacemos outreach frío de este servicio todavía.</t>
        </is>
      </c>
      <c r="G68" s="70" t="inlineStr">
        <is>
          <t>Oportunidades y notas</t>
        </is>
      </c>
      <c r="H68" s="70" t="n">
        <v>15</v>
      </c>
      <c r="I68" s="70" t="inlineStr">
        <is>
          <t>Pendiente</t>
        </is>
      </c>
      <c r="J68" s="70" t="n"/>
    </row>
    <row r="69" ht="207" customHeight="1" s="52">
      <c r="A69" s="94" t="n">
        <v>46321</v>
      </c>
      <c r="B69" s="70" t="inlineStr">
        <is>
          <t>Lunes</t>
        </is>
      </c>
      <c r="C69" s="71" t="inlineStr">
        <is>
          <t>Tarde</t>
        </is>
      </c>
      <c r="D69" s="74" t="inlineStr">
        <is>
          <t>Team/Coach</t>
        </is>
      </c>
      <c r="E69" s="62" t="inlineStr">
        <is>
          <t>Programar en Apple Mail los envíos del martes 27/10</t>
        </is>
      </c>
      <c r="F69" s="70" t="inlineStr">
        <is>
          <t>Para cada correo: copia Para, Asunto y Texto de la hoja 'Textos para copiar' (filtra por la fecha 27/10). Revisa en 30 segundos: saludo, nombre del club, firma, sin adjuntos. En Mail: flecha junto a Enviar &gt; Enviar más tarde &gt; fecha y hora indicadas.
• FC Porte d'Aquitaine | Follow-up 1 | programar para las 04:30 hora Nueva York (09:30 allí)
• Hastings United | Follow-up 2 | programar para las 05:30 hora Nueva York (09:30 allí)
• Home Farm FC | Follow-up 2 | programar para las 05:30 hora Nueva York (09:30 allí)
• Virtu Academy | Follow-up 1 | programar para las 05:30 hora Nueva York (09:30 allí)
Regla: una vez programado, NO lo envíes a mano (se duplicaría). Si a las 08:00 no aparece enviado, entonces sí.</t>
        </is>
      </c>
      <c r="G69" s="70" t="inlineStr">
        <is>
          <t>Textos para copiar</t>
        </is>
      </c>
      <c r="H69" s="70" t="n">
        <v>35</v>
      </c>
      <c r="I69" s="70" t="inlineStr">
        <is>
          <t>Pendiente</t>
        </is>
      </c>
      <c r="J69" s="70" t="n"/>
    </row>
    <row r="70" ht="47.5" customHeight="1" s="52">
      <c r="A70" s="94" t="n">
        <v>46322</v>
      </c>
      <c r="B70" s="70" t="inlineStr">
        <is>
          <t>Martes</t>
        </is>
      </c>
      <c r="C70" s="71" t="inlineStr">
        <is>
          <t>04:30</t>
        </is>
      </c>
      <c r="D70" s="74" t="inlineStr">
        <is>
          <t>Team/Coach</t>
        </is>
      </c>
      <c r="E70" s="62" t="inlineStr">
        <is>
          <t>ENVIAR follow-up 1 a FC Porte d'Aquitaine</t>
        </is>
      </c>
      <c r="F70" s="70" t="inlineStr">
        <is>
          <t>Sale a las 04:30 hora Nueva York (09:30 allí) si lo programaste la víspera. No hace falta hacer nada a esta hora. Si es follow-up, se envía respondiendo al correo original (búscalo por destinatario en Outlook o Mail y pulsa Responder).</t>
        </is>
      </c>
      <c r="G70" s="70" t="inlineStr">
        <is>
          <t>Textos para copiar</t>
        </is>
      </c>
      <c r="H70" s="70" t="n"/>
      <c r="I70" s="70" t="inlineStr">
        <is>
          <t>Pendiente</t>
        </is>
      </c>
      <c r="J70" s="70" t="n"/>
    </row>
    <row r="71" ht="47.5" customHeight="1" s="52">
      <c r="A71" s="94" t="n">
        <v>46322</v>
      </c>
      <c r="B71" s="70" t="inlineStr">
        <is>
          <t>Martes</t>
        </is>
      </c>
      <c r="C71" s="71" t="inlineStr">
        <is>
          <t>05:30</t>
        </is>
      </c>
      <c r="D71" s="74" t="inlineStr">
        <is>
          <t>Team/Coach</t>
        </is>
      </c>
      <c r="E71" s="62" t="inlineStr">
        <is>
          <t>ENVIAR follow-up 2 a Hastings United</t>
        </is>
      </c>
      <c r="F71" s="70" t="inlineStr">
        <is>
          <t>Sale a las 05:30 hora Nueva York (09:30 allí) si lo programaste la víspera. No hace falta hacer nada a esta hora. Si es follow-up, se envía respondiendo al correo original (búscalo por destinatario en Outlook o Mail y pulsa Responder).</t>
        </is>
      </c>
      <c r="G71" s="70" t="inlineStr">
        <is>
          <t>Textos para copiar</t>
        </is>
      </c>
      <c r="H71" s="70" t="n"/>
      <c r="I71" s="70" t="inlineStr">
        <is>
          <t>Pendiente</t>
        </is>
      </c>
      <c r="J71" s="70" t="n"/>
    </row>
    <row r="72" ht="47.5" customHeight="1" s="52">
      <c r="A72" s="94" t="n">
        <v>46322</v>
      </c>
      <c r="B72" s="70" t="inlineStr">
        <is>
          <t>Martes</t>
        </is>
      </c>
      <c r="C72" s="71" t="inlineStr">
        <is>
          <t>05:30</t>
        </is>
      </c>
      <c r="D72" s="74" t="inlineStr">
        <is>
          <t>Team/Coach</t>
        </is>
      </c>
      <c r="E72" s="62" t="inlineStr">
        <is>
          <t>ENVIAR follow-up 2 a Home Farm FC</t>
        </is>
      </c>
      <c r="F72" s="70" t="inlineStr">
        <is>
          <t>Sale a las 05:30 hora Nueva York (09:30 allí) si lo programaste la víspera. No hace falta hacer nada a esta hora. Si es follow-up, se envía respondiendo al correo original (búscalo por destinatario en Outlook o Mail y pulsa Responder).</t>
        </is>
      </c>
      <c r="G72" s="70" t="inlineStr">
        <is>
          <t>Textos para copiar</t>
        </is>
      </c>
      <c r="H72" s="70" t="n"/>
      <c r="I72" s="70" t="inlineStr">
        <is>
          <t>Pendiente</t>
        </is>
      </c>
      <c r="J72" s="70" t="n"/>
    </row>
    <row r="73" ht="47.5" customHeight="1" s="52">
      <c r="A73" s="94" t="n">
        <v>46322</v>
      </c>
      <c r="B73" s="70" t="inlineStr">
        <is>
          <t>Martes</t>
        </is>
      </c>
      <c r="C73" s="71" t="inlineStr">
        <is>
          <t>05:30</t>
        </is>
      </c>
      <c r="D73" s="74" t="inlineStr">
        <is>
          <t>Team/Coach</t>
        </is>
      </c>
      <c r="E73" s="62" t="inlineStr">
        <is>
          <t>ENVIAR follow-up 1 a Virtu Academy</t>
        </is>
      </c>
      <c r="F73" s="70" t="inlineStr">
        <is>
          <t>Sale a las 05:30 hora Nueva York (09:30 allí) si lo programaste la víspera. No hace falta hacer nada a esta hora. Si es follow-up, se envía respondiendo al correo original (búscalo por destinatario en Outlook o Mail y pulsa Responder).</t>
        </is>
      </c>
      <c r="G73" s="70" t="inlineStr">
        <is>
          <t>Textos para copiar</t>
        </is>
      </c>
      <c r="H73" s="70" t="n"/>
      <c r="I73" s="70" t="inlineStr">
        <is>
          <t>Pendiente</t>
        </is>
      </c>
      <c r="J73" s="70" t="n"/>
    </row>
    <row r="74" ht="62" customHeight="1" s="52">
      <c r="A74" s="94" t="n">
        <v>46322</v>
      </c>
      <c r="B74" s="70" t="inlineStr">
        <is>
          <t>Martes</t>
        </is>
      </c>
      <c r="C74" s="71" t="inlineStr">
        <is>
          <t>8:00</t>
        </is>
      </c>
      <c r="D74" s="72" t="inlineStr">
        <is>
          <t>Todos</t>
        </is>
      </c>
      <c r="E74" s="62" t="inlineStr">
        <is>
          <t>Revisión diaria: bandeja, Instagram, WhatsApp</t>
        </is>
      </c>
      <c r="F74"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74" s="70" t="inlineStr">
        <is>
          <t>Textos para copiar (final de la hoja)</t>
        </is>
      </c>
      <c r="H74" s="70" t="n">
        <v>15</v>
      </c>
      <c r="I74" s="70" t="inlineStr">
        <is>
          <t>Pendiente</t>
        </is>
      </c>
      <c r="J74" s="70" t="n"/>
    </row>
    <row r="75" ht="76.5" customHeight="1" s="52">
      <c r="A75" s="94" t="n">
        <v>46322</v>
      </c>
      <c r="B75" s="70" t="inlineStr">
        <is>
          <t>Martes</t>
        </is>
      </c>
      <c r="C75" s="71" t="inlineStr">
        <is>
          <t>8:00</t>
        </is>
      </c>
      <c r="D75" s="74" t="inlineStr">
        <is>
          <t>Team/Coach</t>
        </is>
      </c>
      <c r="E75" s="62" t="inlineStr">
        <is>
          <t>Confirmar que salieron los correos de hoy y mirar rebotes</t>
        </is>
      </c>
      <c r="F75"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75" s="70" t="inlineStr">
        <is>
          <t>Outlook buscador / Mail Enviados</t>
        </is>
      </c>
      <c r="H75" s="70" t="n">
        <v>10</v>
      </c>
      <c r="I75" s="70" t="inlineStr">
        <is>
          <t>Pendiente</t>
        </is>
      </c>
      <c r="J75" s="70" t="n"/>
    </row>
    <row r="76" ht="33" customHeight="1" s="52">
      <c r="A76" s="94" t="n">
        <v>46322</v>
      </c>
      <c r="B76" s="70" t="inlineStr">
        <is>
          <t>Martes</t>
        </is>
      </c>
      <c r="C76" s="71" t="inlineStr">
        <is>
          <t>Libre</t>
        </is>
      </c>
      <c r="D76" s="74" t="inlineStr">
        <is>
          <t>Team/Coach</t>
        </is>
      </c>
      <c r="E76" s="62" t="inlineStr">
        <is>
          <t>Enviar la tanda 3 de emails (los textos los tengo listos tras tu petición del 19/10)</t>
        </is>
      </c>
      <c r="F76" s="70" t="inlineStr">
        <is>
          <t>Aparecerán en la hoja Textos para copiar con su hora de programación.</t>
        </is>
      </c>
      <c r="G76" s="70" t="inlineStr">
        <is>
          <t>Textos para copiar</t>
        </is>
      </c>
      <c r="H76" s="70" t="n">
        <v>20</v>
      </c>
      <c r="I76" s="70" t="inlineStr">
        <is>
          <t>Pendiente</t>
        </is>
      </c>
      <c r="J76" s="70" t="n"/>
    </row>
    <row r="77" ht="149" customHeight="1" s="52">
      <c r="A77" s="94" t="n">
        <v>46322</v>
      </c>
      <c r="B77" s="70" t="inlineStr">
        <is>
          <t>Martes</t>
        </is>
      </c>
      <c r="C77" s="71" t="inlineStr">
        <is>
          <t>Tarde</t>
        </is>
      </c>
      <c r="D77" s="74" t="inlineStr">
        <is>
          <t>Team/Coach</t>
        </is>
      </c>
      <c r="E77" s="62" t="inlineStr">
        <is>
          <t>Programar en Apple Mail los envíos del miércoles 28/10</t>
        </is>
      </c>
      <c r="F77" s="70" t="inlineStr">
        <is>
          <t>Para cada correo: copia Para, Asunto y Texto de la hoja 'Textos para copiar' (filtra por la fecha 28/10). Revisa en 30 segundos: saludo, nombre del club, firma, sin adjuntos. En Mail: flecha junto a Enviar &gt; Enviar más tarde &gt; fecha y hora indicadas.
• Holbeach United | Follow-up 2 | programar para las 05:30 hora Nueva York (09:30 allí)
• Søreide IL | Follow-up 2 | programar para las 04:30 hora Nueva York (09:30 allí)
Regla: una vez programado, NO lo envíes a mano (se duplicaría). Si a las 08:00 no aparece enviado, entonces sí.</t>
        </is>
      </c>
      <c r="G77" s="70" t="inlineStr">
        <is>
          <t>Textos para copiar</t>
        </is>
      </c>
      <c r="H77" s="70" t="n">
        <v>25</v>
      </c>
      <c r="I77" s="70" t="inlineStr">
        <is>
          <t>Pendiente</t>
        </is>
      </c>
      <c r="J77" s="70" t="n"/>
    </row>
    <row r="78" ht="47.5" customHeight="1" s="52">
      <c r="A78" s="94" t="n">
        <v>46323</v>
      </c>
      <c r="B78" s="70" t="inlineStr">
        <is>
          <t>Miércoles</t>
        </is>
      </c>
      <c r="C78" s="71" t="inlineStr">
        <is>
          <t>04:30</t>
        </is>
      </c>
      <c r="D78" s="74" t="inlineStr">
        <is>
          <t>Team/Coach</t>
        </is>
      </c>
      <c r="E78" s="62" t="inlineStr">
        <is>
          <t>ENVIAR follow-up 2 a Søreide IL</t>
        </is>
      </c>
      <c r="F78" s="70" t="inlineStr">
        <is>
          <t>Sale a las 04:30 hora Nueva York (09:30 allí) si lo programaste la víspera. No hace falta hacer nada a esta hora. Si es follow-up, se envía respondiendo al correo original (búscalo por destinatario en Outlook o Mail y pulsa Responder).</t>
        </is>
      </c>
      <c r="G78" s="70" t="inlineStr">
        <is>
          <t>Textos para copiar</t>
        </is>
      </c>
      <c r="H78" s="70" t="n"/>
      <c r="I78" s="70" t="inlineStr">
        <is>
          <t>Pendiente</t>
        </is>
      </c>
      <c r="J78" s="70" t="n"/>
    </row>
    <row r="79" ht="47.5" customHeight="1" s="52">
      <c r="A79" s="94" t="n">
        <v>46323</v>
      </c>
      <c r="B79" s="70" t="inlineStr">
        <is>
          <t>Miércoles</t>
        </is>
      </c>
      <c r="C79" s="71" t="inlineStr">
        <is>
          <t>05:30</t>
        </is>
      </c>
      <c r="D79" s="74" t="inlineStr">
        <is>
          <t>Team/Coach</t>
        </is>
      </c>
      <c r="E79" s="62" t="inlineStr">
        <is>
          <t>ENVIAR follow-up 2 a Holbeach United</t>
        </is>
      </c>
      <c r="F79" s="70" t="inlineStr">
        <is>
          <t>Sale a las 05:30 hora Nueva York (09:30 allí) si lo programaste la víspera. No hace falta hacer nada a esta hora. Si es follow-up, se envía respondiendo al correo original (búscalo por destinatario en Outlook o Mail y pulsa Responder).</t>
        </is>
      </c>
      <c r="G79" s="70" t="inlineStr">
        <is>
          <t>Textos para copiar</t>
        </is>
      </c>
      <c r="H79" s="70" t="n"/>
      <c r="I79" s="70" t="inlineStr">
        <is>
          <t>Pendiente</t>
        </is>
      </c>
      <c r="J79" s="70" t="n"/>
    </row>
    <row r="80" ht="62" customHeight="1" s="52">
      <c r="A80" s="94" t="n">
        <v>46323</v>
      </c>
      <c r="B80" s="70" t="inlineStr">
        <is>
          <t>Miércoles</t>
        </is>
      </c>
      <c r="C80" s="71" t="inlineStr">
        <is>
          <t>8:00</t>
        </is>
      </c>
      <c r="D80" s="72" t="inlineStr">
        <is>
          <t>Todos</t>
        </is>
      </c>
      <c r="E80" s="62" t="inlineStr">
        <is>
          <t>Revisión diaria: bandeja, Instagram, WhatsApp</t>
        </is>
      </c>
      <c r="F80"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80" s="70" t="inlineStr">
        <is>
          <t>Textos para copiar (final de la hoja)</t>
        </is>
      </c>
      <c r="H80" s="70" t="n">
        <v>15</v>
      </c>
      <c r="I80" s="70" t="inlineStr">
        <is>
          <t>Pendiente</t>
        </is>
      </c>
      <c r="J80" s="70" t="n"/>
    </row>
    <row r="81" ht="76.5" customHeight="1" s="52">
      <c r="A81" s="94" t="n">
        <v>46323</v>
      </c>
      <c r="B81" s="70" t="inlineStr">
        <is>
          <t>Miércoles</t>
        </is>
      </c>
      <c r="C81" s="71" t="inlineStr">
        <is>
          <t>8:00</t>
        </is>
      </c>
      <c r="D81" s="74" t="inlineStr">
        <is>
          <t>Team/Coach</t>
        </is>
      </c>
      <c r="E81" s="62" t="inlineStr">
        <is>
          <t>Confirmar que salieron los correos de hoy y mirar rebotes</t>
        </is>
      </c>
      <c r="F81"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81" s="70" t="inlineStr">
        <is>
          <t>Outlook buscador / Mail Enviados</t>
        </is>
      </c>
      <c r="H81" s="70" t="n">
        <v>10</v>
      </c>
      <c r="I81" s="70" t="inlineStr">
        <is>
          <t>Pendiente</t>
        </is>
      </c>
      <c r="J81" s="70" t="n"/>
    </row>
    <row r="82" ht="47.5" customHeight="1" s="52">
      <c r="A82" s="94" t="n">
        <v>46323</v>
      </c>
      <c r="B82" s="70" t="inlineStr">
        <is>
          <t>Miércoles</t>
        </is>
      </c>
      <c r="C82" s="71" t="inlineStr">
        <is>
          <t>Libre</t>
        </is>
      </c>
      <c r="D82" s="73" t="inlineStr">
        <is>
          <t>Becas</t>
        </is>
      </c>
      <c r="E82" s="62" t="inlineStr">
        <is>
          <t>Piloto: 5 mensajes a entrenadores de club o instituto que tengan jugadores de 15 a 18 años</t>
        </is>
      </c>
      <c r="F82" s="70" t="inlineStr">
        <is>
          <t>Yo investigo la lista y los textos (se entregan el 26/10). La idea: un entrenador que recomienda la ficha de Becas trae varias familias a la vez. Los textos nunca nombran al partner ni prometen becas.</t>
        </is>
      </c>
      <c r="G82" s="70" t="inlineStr">
        <is>
          <t>Textos para copiar</t>
        </is>
      </c>
      <c r="H82" s="70" t="n">
        <v>25</v>
      </c>
      <c r="I82" s="70" t="inlineStr">
        <is>
          <t>Pendiente</t>
        </is>
      </c>
      <c r="J82" s="70" t="n"/>
    </row>
    <row r="83" ht="76.5" customHeight="1" s="52">
      <c r="A83" s="94" t="n">
        <v>46323</v>
      </c>
      <c r="B83" s="70" t="inlineStr">
        <is>
          <t>Miércoles</t>
        </is>
      </c>
      <c r="C83" s="71" t="inlineStr">
        <is>
          <t>Libre</t>
        </is>
      </c>
      <c r="D83" s="74" t="inlineStr">
        <is>
          <t>Team/Coach</t>
        </is>
      </c>
      <c r="E83" s="62" t="inlineStr">
        <is>
          <t>Opcional: DM a Instagram de Hastings United (Hastings United)</t>
        </is>
      </c>
      <c r="F83"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83" s="70" t="inlineStr">
        <is>
          <t>Textos para copiar</t>
        </is>
      </c>
      <c r="H83" s="70" t="n">
        <v>5</v>
      </c>
      <c r="I83" s="70" t="inlineStr">
        <is>
          <t>Pendiente</t>
        </is>
      </c>
      <c r="J83" s="70" t="n"/>
    </row>
    <row r="84" ht="76.5" customHeight="1" s="52">
      <c r="A84" s="94" t="n">
        <v>46323</v>
      </c>
      <c r="B84" s="70" t="inlineStr">
        <is>
          <t>Miércoles</t>
        </is>
      </c>
      <c r="C84" s="71" t="inlineStr">
        <is>
          <t>Libre</t>
        </is>
      </c>
      <c r="D84" s="74" t="inlineStr">
        <is>
          <t>Team/Coach</t>
        </is>
      </c>
      <c r="E84" s="62" t="inlineStr">
        <is>
          <t>Opcional: DM a Facebook o Instagram de Home Farm FC (Home Farm FC)</t>
        </is>
      </c>
      <c r="F84"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84" s="70" t="inlineStr">
        <is>
          <t>Textos para copiar</t>
        </is>
      </c>
      <c r="H84" s="70" t="n">
        <v>5</v>
      </c>
      <c r="I84" s="70" t="inlineStr">
        <is>
          <t>Pendiente</t>
        </is>
      </c>
      <c r="J84" s="70" t="n"/>
    </row>
    <row r="85" ht="178" customHeight="1" s="52">
      <c r="A85" s="94" t="n">
        <v>46323</v>
      </c>
      <c r="B85" s="70" t="inlineStr">
        <is>
          <t>Miércoles</t>
        </is>
      </c>
      <c r="C85" s="71" t="inlineStr">
        <is>
          <t>Tarde</t>
        </is>
      </c>
      <c r="D85" s="74" t="inlineStr">
        <is>
          <t>Team/Coach</t>
        </is>
      </c>
      <c r="E85" s="62" t="inlineStr">
        <is>
          <t>Programar en Apple Mail los envíos del jueves 29/10</t>
        </is>
      </c>
      <c r="F85" s="70" t="inlineStr">
        <is>
          <t>Para cada correo: copia Para, Asunto y Texto de la hoja 'Textos para copiar' (filtra por la fecha 29/10). Revisa en 30 segundos: saludo, nombre del club, firma, sin adjuntos. En Mail: flecha junto a Enviar &gt; Enviar más tarde &gt; fecha y hora indicadas.
• IA Akranes | Follow-up 2 | programar para las 05:30 hora Nueva York (09:30 allí)
• Maidstone United | Follow-up 2 | programar para las 05:30 hora Nueva York (09:30 allí)
• Whitehaven AFC | Follow-up 2 | programar para las 05:30 hora Nueva York (09:30 allí)
Regla: una vez programado, NO lo envíes a mano (se duplicaría). Si a las 08:00 no aparece enviado, entonces sí.</t>
        </is>
      </c>
      <c r="G85" s="70" t="inlineStr">
        <is>
          <t>Textos para copiar</t>
        </is>
      </c>
      <c r="H85" s="70" t="n">
        <v>30</v>
      </c>
      <c r="I85" s="70" t="inlineStr">
        <is>
          <t>Pendiente</t>
        </is>
      </c>
      <c r="J85" s="70" t="n"/>
    </row>
    <row r="86" ht="47.5" customHeight="1" s="52">
      <c r="A86" s="94" t="n">
        <v>46324</v>
      </c>
      <c r="B86" s="70" t="inlineStr">
        <is>
          <t>Jueves</t>
        </is>
      </c>
      <c r="C86" s="71" t="inlineStr">
        <is>
          <t>05:30</t>
        </is>
      </c>
      <c r="D86" s="74" t="inlineStr">
        <is>
          <t>Team/Coach</t>
        </is>
      </c>
      <c r="E86" s="62" t="inlineStr">
        <is>
          <t>ENVIAR follow-up 2 a IA Akranes</t>
        </is>
      </c>
      <c r="F86" s="70" t="inlineStr">
        <is>
          <t>Sale a las 05:30 hora Nueva York (09:30 allí) si lo programaste la víspera. No hace falta hacer nada a esta hora. Si es follow-up, se envía respondiendo al correo original (búscalo por destinatario en Outlook o Mail y pulsa Responder).</t>
        </is>
      </c>
      <c r="G86" s="70" t="inlineStr">
        <is>
          <t>Textos para copiar</t>
        </is>
      </c>
      <c r="H86" s="70" t="n"/>
      <c r="I86" s="70" t="inlineStr">
        <is>
          <t>Pendiente</t>
        </is>
      </c>
      <c r="J86" s="70" t="n"/>
    </row>
    <row r="87" ht="47.5" customHeight="1" s="52">
      <c r="A87" s="94" t="n">
        <v>46324</v>
      </c>
      <c r="B87" s="70" t="inlineStr">
        <is>
          <t>Jueves</t>
        </is>
      </c>
      <c r="C87" s="71" t="inlineStr">
        <is>
          <t>05:30</t>
        </is>
      </c>
      <c r="D87" s="74" t="inlineStr">
        <is>
          <t>Team/Coach</t>
        </is>
      </c>
      <c r="E87" s="62" t="inlineStr">
        <is>
          <t>ENVIAR follow-up 2 a Maidstone United</t>
        </is>
      </c>
      <c r="F87" s="70" t="inlineStr">
        <is>
          <t>Sale a las 05:30 hora Nueva York (09:30 allí) si lo programaste la víspera. No hace falta hacer nada a esta hora. Si es follow-up, se envía respondiendo al correo original (búscalo por destinatario en Outlook o Mail y pulsa Responder).</t>
        </is>
      </c>
      <c r="G87" s="70" t="inlineStr">
        <is>
          <t>Textos para copiar</t>
        </is>
      </c>
      <c r="H87" s="70" t="n"/>
      <c r="I87" s="70" t="inlineStr">
        <is>
          <t>Pendiente</t>
        </is>
      </c>
      <c r="J87" s="70" t="n"/>
    </row>
    <row r="88" ht="47.5" customHeight="1" s="52">
      <c r="A88" s="94" t="n">
        <v>46324</v>
      </c>
      <c r="B88" s="70" t="inlineStr">
        <is>
          <t>Jueves</t>
        </is>
      </c>
      <c r="C88" s="71" t="inlineStr">
        <is>
          <t>05:30</t>
        </is>
      </c>
      <c r="D88" s="74" t="inlineStr">
        <is>
          <t>Team/Coach</t>
        </is>
      </c>
      <c r="E88" s="62" t="inlineStr">
        <is>
          <t>ENVIAR follow-up 2 a Whitehaven AFC</t>
        </is>
      </c>
      <c r="F88" s="70" t="inlineStr">
        <is>
          <t>Sale a las 05:30 hora Nueva York (09:30 allí) si lo programaste la víspera. No hace falta hacer nada a esta hora. Si es follow-up, se envía respondiendo al correo original (búscalo por destinatario en Outlook o Mail y pulsa Responder).</t>
        </is>
      </c>
      <c r="G88" s="70" t="inlineStr">
        <is>
          <t>Textos para copiar</t>
        </is>
      </c>
      <c r="H88" s="70" t="n"/>
      <c r="I88" s="70" t="inlineStr">
        <is>
          <t>Pendiente</t>
        </is>
      </c>
      <c r="J88" s="70" t="n"/>
    </row>
    <row r="89" ht="62" customHeight="1" s="52">
      <c r="A89" s="94" t="n">
        <v>46324</v>
      </c>
      <c r="B89" s="70" t="inlineStr">
        <is>
          <t>Jueves</t>
        </is>
      </c>
      <c r="C89" s="71" t="inlineStr">
        <is>
          <t>8:00</t>
        </is>
      </c>
      <c r="D89" s="72" t="inlineStr">
        <is>
          <t>Todos</t>
        </is>
      </c>
      <c r="E89" s="62" t="inlineStr">
        <is>
          <t>Revisión diaria: bandeja, Instagram, WhatsApp</t>
        </is>
      </c>
      <c r="F89"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89" s="70" t="inlineStr">
        <is>
          <t>Textos para copiar (final de la hoja)</t>
        </is>
      </c>
      <c r="H89" s="70" t="n">
        <v>15</v>
      </c>
      <c r="I89" s="70" t="inlineStr">
        <is>
          <t>Pendiente</t>
        </is>
      </c>
      <c r="J89" s="70" t="n"/>
    </row>
    <row r="90" ht="76.5" customHeight="1" s="52">
      <c r="A90" s="94" t="n">
        <v>46324</v>
      </c>
      <c r="B90" s="70" t="inlineStr">
        <is>
          <t>Jueves</t>
        </is>
      </c>
      <c r="C90" s="71" t="inlineStr">
        <is>
          <t>8:00</t>
        </is>
      </c>
      <c r="D90" s="74" t="inlineStr">
        <is>
          <t>Team/Coach</t>
        </is>
      </c>
      <c r="E90" s="62" t="inlineStr">
        <is>
          <t>Confirmar que salieron los correos de hoy y mirar rebotes</t>
        </is>
      </c>
      <c r="F90"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90" s="70" t="inlineStr">
        <is>
          <t>Outlook buscador / Mail Enviados</t>
        </is>
      </c>
      <c r="H90" s="70" t="n">
        <v>10</v>
      </c>
      <c r="I90" s="70" t="inlineStr">
        <is>
          <t>Pendiente</t>
        </is>
      </c>
      <c r="J90" s="70" t="n"/>
    </row>
    <row r="91" ht="76.5" customHeight="1" s="52">
      <c r="A91" s="94" t="n">
        <v>46324</v>
      </c>
      <c r="B91" s="70" t="inlineStr">
        <is>
          <t>Jueves</t>
        </is>
      </c>
      <c r="C91" s="71" t="inlineStr">
        <is>
          <t>Libre</t>
        </is>
      </c>
      <c r="D91" s="74" t="inlineStr">
        <is>
          <t>Team/Coach</t>
        </is>
      </c>
      <c r="E91" s="62" t="inlineStr">
        <is>
          <t>Opcional: DM a Instagram @holbeachunitedcsa (Holbeach United)</t>
        </is>
      </c>
      <c r="F91"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91" s="70" t="inlineStr">
        <is>
          <t>Textos para copiar</t>
        </is>
      </c>
      <c r="H91" s="70" t="n">
        <v>5</v>
      </c>
      <c r="I91" s="70" t="inlineStr">
        <is>
          <t>Pendiente</t>
        </is>
      </c>
      <c r="J91" s="70" t="n"/>
    </row>
    <row r="92" ht="76.5" customHeight="1" s="52">
      <c r="A92" s="94" t="n">
        <v>46324</v>
      </c>
      <c r="B92" s="70" t="inlineStr">
        <is>
          <t>Jueves</t>
        </is>
      </c>
      <c r="C92" s="71" t="inlineStr">
        <is>
          <t>Libre</t>
        </is>
      </c>
      <c r="D92" s="74" t="inlineStr">
        <is>
          <t>Team/Coach</t>
        </is>
      </c>
      <c r="E92" s="62" t="inlineStr">
        <is>
          <t>Opcional: DM a Facebook o Instagram de Søreide IL (Søreide IL)</t>
        </is>
      </c>
      <c r="F92"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92" s="70" t="inlineStr">
        <is>
          <t>Textos para copiar</t>
        </is>
      </c>
      <c r="H92" s="70" t="n">
        <v>5</v>
      </c>
      <c r="I92" s="70" t="inlineStr">
        <is>
          <t>Pendiente</t>
        </is>
      </c>
      <c r="J92" s="70" t="n"/>
    </row>
    <row r="93" ht="62" customHeight="1" s="52">
      <c r="A93" s="94" t="n">
        <v>46325</v>
      </c>
      <c r="B93" s="70" t="inlineStr">
        <is>
          <t>Viernes</t>
        </is>
      </c>
      <c r="C93" s="71" t="inlineStr">
        <is>
          <t>8:00</t>
        </is>
      </c>
      <c r="D93" s="72" t="inlineStr">
        <is>
          <t>Todos</t>
        </is>
      </c>
      <c r="E93" s="62" t="inlineStr">
        <is>
          <t>Revisión diaria: bandeja, Instagram, WhatsApp</t>
        </is>
      </c>
      <c r="F93"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93" s="70" t="inlineStr">
        <is>
          <t>Textos para copiar (final de la hoja)</t>
        </is>
      </c>
      <c r="H93" s="70" t="n">
        <v>15</v>
      </c>
      <c r="I93" s="70" t="inlineStr">
        <is>
          <t>Pendiente</t>
        </is>
      </c>
      <c r="J93" s="70" t="n"/>
    </row>
    <row r="94" ht="76.5" customHeight="1" s="52">
      <c r="A94" s="94" t="n">
        <v>46325</v>
      </c>
      <c r="B94" s="70" t="inlineStr">
        <is>
          <t>Viernes</t>
        </is>
      </c>
      <c r="C94" s="71" t="inlineStr">
        <is>
          <t>Libre</t>
        </is>
      </c>
      <c r="D94" s="74" t="inlineStr">
        <is>
          <t>Team/Coach</t>
        </is>
      </c>
      <c r="E94" s="62" t="inlineStr">
        <is>
          <t>Opcional: DM a Facebook o Instagram de ÍA Akranes (IA Akranes)</t>
        </is>
      </c>
      <c r="F94"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94" s="70" t="inlineStr">
        <is>
          <t>Textos para copiar</t>
        </is>
      </c>
      <c r="H94" s="70" t="n">
        <v>5</v>
      </c>
      <c r="I94" s="70" t="inlineStr">
        <is>
          <t>Pendiente</t>
        </is>
      </c>
      <c r="J94" s="70" t="n"/>
    </row>
    <row r="95" ht="76.5" customHeight="1" s="52">
      <c r="A95" s="94" t="n">
        <v>46325</v>
      </c>
      <c r="B95" s="70" t="inlineStr">
        <is>
          <t>Viernes</t>
        </is>
      </c>
      <c r="C95" s="71" t="inlineStr">
        <is>
          <t>Libre</t>
        </is>
      </c>
      <c r="D95" s="74" t="inlineStr">
        <is>
          <t>Team/Coach</t>
        </is>
      </c>
      <c r="E95" s="62" t="inlineStr">
        <is>
          <t>Opcional: DM a Facebook o Instagram de Maidstone United (Maidstone United)</t>
        </is>
      </c>
      <c r="F95"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95" s="70" t="inlineStr">
        <is>
          <t>Textos para copiar</t>
        </is>
      </c>
      <c r="H95" s="70" t="n">
        <v>5</v>
      </c>
      <c r="I95" s="70" t="inlineStr">
        <is>
          <t>Pendiente</t>
        </is>
      </c>
      <c r="J95" s="70" t="n"/>
    </row>
    <row r="96" ht="76.5" customHeight="1" s="52">
      <c r="A96" s="94" t="n">
        <v>46325</v>
      </c>
      <c r="B96" s="70" t="inlineStr">
        <is>
          <t>Viernes</t>
        </is>
      </c>
      <c r="C96" s="71" t="inlineStr">
        <is>
          <t>Libre</t>
        </is>
      </c>
      <c r="D96" s="74" t="inlineStr">
        <is>
          <t>Team/Coach</t>
        </is>
      </c>
      <c r="E96" s="62" t="inlineStr">
        <is>
          <t>Opcional: DM a Facebook de Whitehaven AFC (plan B si el email rebota) (Whitehaven AFC)</t>
        </is>
      </c>
      <c r="F96"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96" s="70" t="inlineStr">
        <is>
          <t>Textos para copiar</t>
        </is>
      </c>
      <c r="H96" s="70" t="n">
        <v>5</v>
      </c>
      <c r="I96" s="70" t="inlineStr">
        <is>
          <t>Pendiente</t>
        </is>
      </c>
      <c r="J96" s="70" t="n"/>
    </row>
    <row r="97" ht="33" customHeight="1" s="52">
      <c r="A97" s="94" t="n">
        <v>46325</v>
      </c>
      <c r="B97" s="70" t="inlineStr">
        <is>
          <t>Viernes</t>
        </is>
      </c>
      <c r="C97" s="71" t="inlineStr">
        <is>
          <t>Libre</t>
        </is>
      </c>
      <c r="D97" s="72" t="inlineStr">
        <is>
          <t>Todos</t>
        </is>
      </c>
      <c r="E97" s="62" t="inlineStr">
        <is>
          <t>Actualizar el CRM con lo que ha pasado esta semana</t>
        </is>
      </c>
      <c r="F97" s="70" t="inlineStr">
        <is>
          <t>Estado y fecha de último contacto de cada club o lead. Así la hoja Hoy cuenta bien.</t>
        </is>
      </c>
      <c r="G97" s="70" t="inlineStr">
        <is>
          <t>Segmento A, B, C</t>
        </is>
      </c>
      <c r="H97" s="70" t="n">
        <v>15</v>
      </c>
      <c r="I97" s="70" t="inlineStr">
        <is>
          <t>Pendiente</t>
        </is>
      </c>
      <c r="J97" s="70" t="n"/>
    </row>
    <row r="98" ht="22" customHeight="1" s="52">
      <c r="A98" s="68" t="inlineStr">
        <is>
          <t>SEMANA  02/11 a 08/11</t>
        </is>
      </c>
    </row>
    <row r="99" ht="62" customHeight="1" s="52">
      <c r="A99" s="94" t="n">
        <v>46328</v>
      </c>
      <c r="B99" s="70" t="inlineStr">
        <is>
          <t>Lunes</t>
        </is>
      </c>
      <c r="C99" s="71" t="inlineStr">
        <is>
          <t>8:00</t>
        </is>
      </c>
      <c r="D99" s="72" t="inlineStr">
        <is>
          <t>Todos</t>
        </is>
      </c>
      <c r="E99" s="62" t="inlineStr">
        <is>
          <t>Revisión diaria: bandeja, Instagram, WhatsApp</t>
        </is>
      </c>
      <c r="F99"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99" s="70" t="inlineStr">
        <is>
          <t>Textos para copiar (final de la hoja)</t>
        </is>
      </c>
      <c r="H99" s="70" t="n">
        <v>15</v>
      </c>
      <c r="I99" s="70" t="inlineStr">
        <is>
          <t>Pendiente</t>
        </is>
      </c>
      <c r="J99" s="70" t="n"/>
    </row>
    <row r="100" ht="33" customHeight="1" s="52">
      <c r="A100" s="94" t="n">
        <v>46328</v>
      </c>
      <c r="B100" s="70" t="inlineStr">
        <is>
          <t>Lunes</t>
        </is>
      </c>
      <c r="C100" s="71" t="inlineStr">
        <is>
          <t>Libre</t>
        </is>
      </c>
      <c r="D100" s="74" t="inlineStr">
        <is>
          <t>Team/Coach</t>
        </is>
      </c>
      <c r="E100" s="62" t="inlineStr">
        <is>
          <t>Pedirme: «investiga 10 clubes más» para la siguiente tanda</t>
        </is>
      </c>
      <c r="F100" s="70" t="inlineStr">
        <is>
          <t>Escríbeme esa frase. Yo verifico decisor y email en la web del club y te dejo los correos listos en esta hoja antes del jueves.</t>
        </is>
      </c>
      <c r="G100" s="70" t="inlineStr">
        <is>
          <t>Chat con Claude</t>
        </is>
      </c>
      <c r="H100" s="70" t="n">
        <v>5</v>
      </c>
      <c r="I100" s="70" t="inlineStr">
        <is>
          <t>Pendiente</t>
        </is>
      </c>
      <c r="J100" s="70" t="n"/>
    </row>
    <row r="101" ht="33" customHeight="1" s="52">
      <c r="A101" s="94" t="n">
        <v>46328</v>
      </c>
      <c r="B101" s="70" t="inlineStr">
        <is>
          <t>Lunes</t>
        </is>
      </c>
      <c r="C101" s="71" t="inlineStr">
        <is>
          <t>Libre</t>
        </is>
      </c>
      <c r="D101" s="73" t="inlineStr">
        <is>
          <t>Becas</t>
        </is>
      </c>
      <c r="E101" s="62" t="inlineStr">
        <is>
          <t>Revisar leads de becas con acción vencida</t>
        </is>
      </c>
      <c r="F101" s="70" t="inlineStr">
        <is>
          <t>Pestaña Segmento C - Becas: ordena por 'Próxima acción'. Contesta o actualiza todo lo atrasado. Aplica las 4 preguntas de cualificación.</t>
        </is>
      </c>
      <c r="G101" s="70" t="inlineStr">
        <is>
          <t>Segmento C - Becas</t>
        </is>
      </c>
      <c r="H101" s="70" t="n">
        <v>20</v>
      </c>
      <c r="I101" s="70" t="inlineStr">
        <is>
          <t>Pendiente</t>
        </is>
      </c>
      <c r="J101" s="70" t="n"/>
    </row>
    <row r="102" ht="192.5" customHeight="1" s="52">
      <c r="A102" s="94" t="n">
        <v>46328</v>
      </c>
      <c r="B102" s="70" t="inlineStr">
        <is>
          <t>Lunes</t>
        </is>
      </c>
      <c r="C102" s="71" t="inlineStr">
        <is>
          <t>Tarde</t>
        </is>
      </c>
      <c r="D102" s="74" t="inlineStr">
        <is>
          <t>Team/Coach</t>
        </is>
      </c>
      <c r="E102" s="62" t="inlineStr">
        <is>
          <t>Programar en Apple Mail los envíos del martes 03/11</t>
        </is>
      </c>
      <c r="F102" s="70" t="inlineStr">
        <is>
          <t>Para cada correo: copia Para, Asunto y Texto de la hoja 'Textos para copiar' (filtra por la fecha 03/11). Revisa en 30 segundos: saludo, nombre del club, firma, sin adjuntos. En Mail: flecha junto a Enviar &gt; Enviar más tarde &gt; fecha y hora indicadas.
• FC Porte d'Aquitaine | Follow-up 2 | programar para las 03:30 hora Nueva York (09:30 allí)
• Hastings United | Cierre | programar para las 04:30 hora Nueva York (09:30 allí)
• Home Farm FC | Cierre | programar para las 04:30 hora Nueva York (09:30 allí)
• Virtu Academy | Follow-up 2 | programar para las 04:30 hora Nueva York (09:30 allí)
Regla: una vez programado, NO lo envíes a mano (se duplicaría). Si a las 08:00 no aparece enviado, entonces sí.</t>
        </is>
      </c>
      <c r="G102" s="70" t="inlineStr">
        <is>
          <t>Textos para copiar</t>
        </is>
      </c>
      <c r="H102" s="70" t="n">
        <v>35</v>
      </c>
      <c r="I102" s="70" t="inlineStr">
        <is>
          <t>Pendiente</t>
        </is>
      </c>
      <c r="J102" s="70" t="n"/>
    </row>
    <row r="103" ht="47.5" customHeight="1" s="52">
      <c r="A103" s="94" t="n">
        <v>46329</v>
      </c>
      <c r="B103" s="70" t="inlineStr">
        <is>
          <t>Martes</t>
        </is>
      </c>
      <c r="C103" s="71" t="inlineStr">
        <is>
          <t>03:30</t>
        </is>
      </c>
      <c r="D103" s="74" t="inlineStr">
        <is>
          <t>Team/Coach</t>
        </is>
      </c>
      <c r="E103" s="62" t="inlineStr">
        <is>
          <t>ENVIAR follow-up 2 a FC Porte d'Aquitaine</t>
        </is>
      </c>
      <c r="F103" s="70" t="inlineStr">
        <is>
          <t>Sale a las 03:30 hora Nueva York (09:30 allí) si lo programaste la víspera. No hace falta hacer nada a esta hora. Si es follow-up, se envía respondiendo al correo original (búscalo por destinatario en Outlook o Mail y pulsa Responder).</t>
        </is>
      </c>
      <c r="G103" s="70" t="inlineStr">
        <is>
          <t>Textos para copiar</t>
        </is>
      </c>
      <c r="H103" s="70" t="n"/>
      <c r="I103" s="70" t="inlineStr">
        <is>
          <t>Pendiente</t>
        </is>
      </c>
      <c r="J103" s="70" t="n"/>
    </row>
    <row r="104" ht="47.5" customHeight="1" s="52">
      <c r="A104" s="94" t="n">
        <v>46329</v>
      </c>
      <c r="B104" s="70" t="inlineStr">
        <is>
          <t>Martes</t>
        </is>
      </c>
      <c r="C104" s="71" t="inlineStr">
        <is>
          <t>04:30</t>
        </is>
      </c>
      <c r="D104" s="74" t="inlineStr">
        <is>
          <t>Team/Coach</t>
        </is>
      </c>
      <c r="E104" s="62" t="inlineStr">
        <is>
          <t>ENVIAR cierre a Hastings United</t>
        </is>
      </c>
      <c r="F104" s="70" t="inlineStr">
        <is>
          <t>Sale a las 04:30 hora Nueva York (09:30 allí) si lo programaste la víspera. No hace falta hacer nada a esta hora. Si es follow-up, se envía respondiendo al correo original (búscalo por destinatario en Outlook o Mail y pulsa Responder).</t>
        </is>
      </c>
      <c r="G104" s="70" t="inlineStr">
        <is>
          <t>Textos para copiar</t>
        </is>
      </c>
      <c r="H104" s="70" t="n"/>
      <c r="I104" s="70" t="inlineStr">
        <is>
          <t>Pendiente</t>
        </is>
      </c>
      <c r="J104" s="70" t="n"/>
    </row>
    <row r="105" ht="47.5" customHeight="1" s="52">
      <c r="A105" s="94" t="n">
        <v>46329</v>
      </c>
      <c r="B105" s="70" t="inlineStr">
        <is>
          <t>Martes</t>
        </is>
      </c>
      <c r="C105" s="71" t="inlineStr">
        <is>
          <t>04:30</t>
        </is>
      </c>
      <c r="D105" s="74" t="inlineStr">
        <is>
          <t>Team/Coach</t>
        </is>
      </c>
      <c r="E105" s="62" t="inlineStr">
        <is>
          <t>ENVIAR cierre a Home Farm FC</t>
        </is>
      </c>
      <c r="F105" s="70" t="inlineStr">
        <is>
          <t>Sale a las 04:30 hora Nueva York (09:30 allí) si lo programaste la víspera. No hace falta hacer nada a esta hora. Si es follow-up, se envía respondiendo al correo original (búscalo por destinatario en Outlook o Mail y pulsa Responder).</t>
        </is>
      </c>
      <c r="G105" s="70" t="inlineStr">
        <is>
          <t>Textos para copiar</t>
        </is>
      </c>
      <c r="H105" s="70" t="n"/>
      <c r="I105" s="70" t="inlineStr">
        <is>
          <t>Pendiente</t>
        </is>
      </c>
      <c r="J105" s="70" t="n"/>
    </row>
    <row r="106" ht="47.5" customHeight="1" s="52">
      <c r="A106" s="94" t="n">
        <v>46329</v>
      </c>
      <c r="B106" s="70" t="inlineStr">
        <is>
          <t>Martes</t>
        </is>
      </c>
      <c r="C106" s="71" t="inlineStr">
        <is>
          <t>04:30</t>
        </is>
      </c>
      <c r="D106" s="74" t="inlineStr">
        <is>
          <t>Team/Coach</t>
        </is>
      </c>
      <c r="E106" s="62" t="inlineStr">
        <is>
          <t>ENVIAR follow-up 2 a Virtu Academy</t>
        </is>
      </c>
      <c r="F106" s="70" t="inlineStr">
        <is>
          <t>Sale a las 04:30 hora Nueva York (09:30 allí) si lo programaste la víspera. No hace falta hacer nada a esta hora. Si es follow-up, se envía respondiendo al correo original (búscalo por destinatario en Outlook o Mail y pulsa Responder).</t>
        </is>
      </c>
      <c r="G106" s="70" t="inlineStr">
        <is>
          <t>Textos para copiar</t>
        </is>
      </c>
      <c r="H106" s="70" t="n"/>
      <c r="I106" s="70" t="inlineStr">
        <is>
          <t>Pendiente</t>
        </is>
      </c>
      <c r="J106" s="70" t="n"/>
    </row>
    <row r="107" ht="62" customHeight="1" s="52">
      <c r="A107" s="94" t="n">
        <v>46329</v>
      </c>
      <c r="B107" s="70" t="inlineStr">
        <is>
          <t>Martes</t>
        </is>
      </c>
      <c r="C107" s="71" t="inlineStr">
        <is>
          <t>8:00</t>
        </is>
      </c>
      <c r="D107" s="72" t="inlineStr">
        <is>
          <t>Todos</t>
        </is>
      </c>
      <c r="E107" s="62" t="inlineStr">
        <is>
          <t>Revisión diaria: bandeja, Instagram, WhatsApp</t>
        </is>
      </c>
      <c r="F107"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07" s="70" t="inlineStr">
        <is>
          <t>Textos para copiar (final de la hoja)</t>
        </is>
      </c>
      <c r="H107" s="70" t="n">
        <v>15</v>
      </c>
      <c r="I107" s="70" t="inlineStr">
        <is>
          <t>Pendiente</t>
        </is>
      </c>
      <c r="J107" s="70" t="n"/>
    </row>
    <row r="108" ht="76.5" customHeight="1" s="52">
      <c r="A108" s="94" t="n">
        <v>46329</v>
      </c>
      <c r="B108" s="70" t="inlineStr">
        <is>
          <t>Martes</t>
        </is>
      </c>
      <c r="C108" s="71" t="inlineStr">
        <is>
          <t>8:00</t>
        </is>
      </c>
      <c r="D108" s="74" t="inlineStr">
        <is>
          <t>Team/Coach</t>
        </is>
      </c>
      <c r="E108" s="62" t="inlineStr">
        <is>
          <t>Confirmar que salieron los correos de hoy y mirar rebotes</t>
        </is>
      </c>
      <c r="F108"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108" s="70" t="inlineStr">
        <is>
          <t>Outlook buscador / Mail Enviados</t>
        </is>
      </c>
      <c r="H108" s="70" t="n">
        <v>10</v>
      </c>
      <c r="I108" s="70" t="inlineStr">
        <is>
          <t>Pendiente</t>
        </is>
      </c>
      <c r="J108" s="70" t="n"/>
    </row>
    <row r="109" ht="30" customHeight="1" s="52">
      <c r="A109" s="94" t="n">
        <v>46329</v>
      </c>
      <c r="B109" s="70" t="inlineStr">
        <is>
          <t>Martes</t>
        </is>
      </c>
      <c r="C109" s="71" t="inlineStr">
        <is>
          <t>Libre</t>
        </is>
      </c>
      <c r="D109" s="74" t="inlineStr">
        <is>
          <t>Team/Coach</t>
        </is>
      </c>
      <c r="E109" s="62" t="inlineStr">
        <is>
          <t>Enviar la tanda 4 de emails</t>
        </is>
      </c>
      <c r="F109" s="70" t="inlineStr">
        <is>
          <t>Mismo proceso. Los textos estarán en la hoja tras tu petición del 26/10.</t>
        </is>
      </c>
      <c r="G109" s="70" t="inlineStr">
        <is>
          <t>Textos para copiar</t>
        </is>
      </c>
      <c r="H109" s="70" t="n">
        <v>20</v>
      </c>
      <c r="I109" s="70" t="inlineStr">
        <is>
          <t>Pendiente</t>
        </is>
      </c>
      <c r="J109" s="70" t="n"/>
    </row>
    <row r="110" ht="134.5" customHeight="1" s="52">
      <c r="A110" s="94" t="n">
        <v>46329</v>
      </c>
      <c r="B110" s="70" t="inlineStr">
        <is>
          <t>Martes</t>
        </is>
      </c>
      <c r="C110" s="71" t="inlineStr">
        <is>
          <t>Tarde</t>
        </is>
      </c>
      <c r="D110" s="74" t="inlineStr">
        <is>
          <t>Team/Coach</t>
        </is>
      </c>
      <c r="E110" s="62" t="inlineStr">
        <is>
          <t>Programar en Apple Mail los envíos del miércoles 04/11</t>
        </is>
      </c>
      <c r="F110" s="70" t="inlineStr">
        <is>
          <t>Para cada correo: copia Para, Asunto y Texto de la hoja 'Textos para copiar' (filtra por la fecha 04/11). Revisa en 30 segundos: saludo, nombre del club, firma, sin adjuntos. En Mail: flecha junto a Enviar &gt; Enviar más tarde &gt; fecha y hora indicadas.
• Holbeach United | Cierre | programar para las 04:30 hora Nueva York (09:30 allí)
• Søreide IL | Cierre | programar para las 03:30 hora Nueva York (09:30 allí)
Regla: una vez programado, NO lo envíes a mano (se duplicaría). Si a las 08:00 no aparece enviado, entonces sí.</t>
        </is>
      </c>
      <c r="G110" s="70" t="inlineStr">
        <is>
          <t>Textos para copiar</t>
        </is>
      </c>
      <c r="H110" s="70" t="n">
        <v>25</v>
      </c>
      <c r="I110" s="70" t="inlineStr">
        <is>
          <t>Pendiente</t>
        </is>
      </c>
      <c r="J110" s="70" t="n"/>
    </row>
    <row r="111" ht="47.5" customHeight="1" s="52">
      <c r="A111" s="94" t="n">
        <v>46330</v>
      </c>
      <c r="B111" s="70" t="inlineStr">
        <is>
          <t>Miércoles</t>
        </is>
      </c>
      <c r="C111" s="71" t="inlineStr">
        <is>
          <t>03:30</t>
        </is>
      </c>
      <c r="D111" s="74" t="inlineStr">
        <is>
          <t>Team/Coach</t>
        </is>
      </c>
      <c r="E111" s="62" t="inlineStr">
        <is>
          <t>ENVIAR cierre a Søreide IL</t>
        </is>
      </c>
      <c r="F111" s="70" t="inlineStr">
        <is>
          <t>Sale a las 03:30 hora Nueva York (09:30 allí) si lo programaste la víspera. No hace falta hacer nada a esta hora. Si es follow-up, se envía respondiendo al correo original (búscalo por destinatario en Outlook o Mail y pulsa Responder).</t>
        </is>
      </c>
      <c r="G111" s="70" t="inlineStr">
        <is>
          <t>Textos para copiar</t>
        </is>
      </c>
      <c r="H111" s="70" t="n"/>
      <c r="I111" s="70" t="inlineStr">
        <is>
          <t>Pendiente</t>
        </is>
      </c>
      <c r="J111" s="70" t="n"/>
    </row>
    <row r="112" ht="47.5" customHeight="1" s="52">
      <c r="A112" s="94" t="n">
        <v>46330</v>
      </c>
      <c r="B112" s="70" t="inlineStr">
        <is>
          <t>Miércoles</t>
        </is>
      </c>
      <c r="C112" s="71" t="inlineStr">
        <is>
          <t>04:30</t>
        </is>
      </c>
      <c r="D112" s="74" t="inlineStr">
        <is>
          <t>Team/Coach</t>
        </is>
      </c>
      <c r="E112" s="62" t="inlineStr">
        <is>
          <t>ENVIAR cierre a Holbeach United</t>
        </is>
      </c>
      <c r="F112" s="70" t="inlineStr">
        <is>
          <t>Sale a las 04:30 hora Nueva York (09:30 allí) si lo programaste la víspera. No hace falta hacer nada a esta hora. Si es follow-up, se envía respondiendo al correo original (búscalo por destinatario en Outlook o Mail y pulsa Responder).</t>
        </is>
      </c>
      <c r="G112" s="70" t="inlineStr">
        <is>
          <t>Textos para copiar</t>
        </is>
      </c>
      <c r="H112" s="70" t="n"/>
      <c r="I112" s="70" t="inlineStr">
        <is>
          <t>Pendiente</t>
        </is>
      </c>
      <c r="J112" s="70" t="n"/>
    </row>
    <row r="113" ht="62" customHeight="1" s="52">
      <c r="A113" s="94" t="n">
        <v>46330</v>
      </c>
      <c r="B113" s="70" t="inlineStr">
        <is>
          <t>Miércoles</t>
        </is>
      </c>
      <c r="C113" s="71" t="inlineStr">
        <is>
          <t>8:00</t>
        </is>
      </c>
      <c r="D113" s="72" t="inlineStr">
        <is>
          <t>Todos</t>
        </is>
      </c>
      <c r="E113" s="62" t="inlineStr">
        <is>
          <t>Revisión diaria: bandeja, Instagram, WhatsApp</t>
        </is>
      </c>
      <c r="F113"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13" s="70" t="inlineStr">
        <is>
          <t>Textos para copiar (final de la hoja)</t>
        </is>
      </c>
      <c r="H113" s="70" t="n">
        <v>15</v>
      </c>
      <c r="I113" s="70" t="inlineStr">
        <is>
          <t>Pendiente</t>
        </is>
      </c>
      <c r="J113" s="70" t="n"/>
    </row>
    <row r="114" ht="76.5" customHeight="1" s="52">
      <c r="A114" s="94" t="n">
        <v>46330</v>
      </c>
      <c r="B114" s="70" t="inlineStr">
        <is>
          <t>Miércoles</t>
        </is>
      </c>
      <c r="C114" s="71" t="inlineStr">
        <is>
          <t>8:00</t>
        </is>
      </c>
      <c r="D114" s="74" t="inlineStr">
        <is>
          <t>Team/Coach</t>
        </is>
      </c>
      <c r="E114" s="62" t="inlineStr">
        <is>
          <t>Confirmar que salieron los correos de hoy y mirar rebotes</t>
        </is>
      </c>
      <c r="F114"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114" s="70" t="inlineStr">
        <is>
          <t>Outlook buscador / Mail Enviados</t>
        </is>
      </c>
      <c r="H114" s="70" t="n">
        <v>10</v>
      </c>
      <c r="I114" s="70" t="inlineStr">
        <is>
          <t>Pendiente</t>
        </is>
      </c>
      <c r="J114" s="70" t="n"/>
    </row>
    <row r="115" ht="91" customHeight="1" s="52">
      <c r="A115" s="94" t="n">
        <v>46330</v>
      </c>
      <c r="B115" s="70" t="inlineStr">
        <is>
          <t>Miércoles</t>
        </is>
      </c>
      <c r="C115" s="71" t="inlineStr">
        <is>
          <t>Libre</t>
        </is>
      </c>
      <c r="D115" s="74" t="inlineStr">
        <is>
          <t>Team/Coach</t>
        </is>
      </c>
      <c r="E115" s="62" t="inlineStr">
        <is>
          <t>Opcional: DM a Facebook du FC Porte d'Aquitaine (FC Porte d'Aquitaine)</t>
        </is>
      </c>
      <c r="F115" s="70" t="inlineStr">
        <is>
          <t>Solo si el club no ha respondido a nada. A mano desde la cuenta de la red indicada. Solo si no ha contestado al follow-up 2. Sin enlaces. Texto: «Bonjour ! Je suis Joel d'Always Up. Nous emmenons des équipes de jeunes en Espagne pour des semaines d'entraînement (Atlético de Madrid, Real Sociedad). J'ai écrit au club récemment. Qui serait la bonne personne pour parler des déplacements des équipes de jeunes ?»</t>
        </is>
      </c>
      <c r="G115" s="70" t="inlineStr">
        <is>
          <t>Textos para copiar</t>
        </is>
      </c>
      <c r="H115" s="70" t="n">
        <v>5</v>
      </c>
      <c r="I115" s="70" t="inlineStr">
        <is>
          <t>Pendiente</t>
        </is>
      </c>
      <c r="J115" s="70" t="n"/>
    </row>
    <row r="116" ht="76.5" customHeight="1" s="52">
      <c r="A116" s="94" t="n">
        <v>46330</v>
      </c>
      <c r="B116" s="70" t="inlineStr">
        <is>
          <t>Miércoles</t>
        </is>
      </c>
      <c r="C116" s="71" t="inlineStr">
        <is>
          <t>Libre</t>
        </is>
      </c>
      <c r="D116" s="74" t="inlineStr">
        <is>
          <t>Team/Coach</t>
        </is>
      </c>
      <c r="E116" s="62" t="inlineStr">
        <is>
          <t>Opcional: DM a Instagram de Virtu Academy (Virtu Academy)</t>
        </is>
      </c>
      <c r="F116" s="70" t="inlineStr">
        <is>
          <t>Solo si el club no ha respondido a nada. A mano desde la cuenta de la red indicada. Solo si no ha contestado al follow-up 2. Sin enlaces. Texto: «Hi! I'm Joel from Always Up. We take youth teams to Spain for training weeks (Atlético de Madrid, Real Sociedad). I emailed the club recently. Who would be the best person to speak to about trips for your youth teams?»</t>
        </is>
      </c>
      <c r="G116" s="70" t="inlineStr">
        <is>
          <t>Textos para copiar</t>
        </is>
      </c>
      <c r="H116" s="70" t="n">
        <v>5</v>
      </c>
      <c r="I116" s="70" t="inlineStr">
        <is>
          <t>Pendiente</t>
        </is>
      </c>
      <c r="J116" s="70" t="n"/>
    </row>
    <row r="117" ht="149" customHeight="1" s="52">
      <c r="A117" s="94" t="n">
        <v>46330</v>
      </c>
      <c r="B117" s="70" t="inlineStr">
        <is>
          <t>Miércoles</t>
        </is>
      </c>
      <c r="C117" s="71" t="inlineStr">
        <is>
          <t>Tarde</t>
        </is>
      </c>
      <c r="D117" s="74" t="inlineStr">
        <is>
          <t>Team/Coach</t>
        </is>
      </c>
      <c r="E117" s="62" t="inlineStr">
        <is>
          <t>Programar en Apple Mail los envíos del jueves 05/11</t>
        </is>
      </c>
      <c r="F117" s="70" t="inlineStr">
        <is>
          <t>Para cada correo: copia Para, Asunto y Texto de la hoja 'Textos para copiar' (filtra por la fecha 05/11). Revisa en 30 segundos: saludo, nombre del club, firma, sin adjuntos. En Mail: flecha junto a Enviar &gt; Enviar más tarde &gt; fecha y hora indicadas.
• IA Akranes | Cierre | programar para las 04:30 hora Nueva York (09:30 allí)
• Maidstone United | Cierre | programar para las 04:30 hora Nueva York (09:30 allí)
• Whitehaven AFC | Cierre | programar para las 04:30 hora Nueva York (09:30 allí)
Regla: una vez programado, NO lo envíes a mano (se duplicaría). Si a las 08:00 no aparece enviado, entonces sí.</t>
        </is>
      </c>
      <c r="G117" s="70" t="inlineStr">
        <is>
          <t>Textos para copiar</t>
        </is>
      </c>
      <c r="H117" s="70" t="n">
        <v>30</v>
      </c>
      <c r="I117" s="70" t="inlineStr">
        <is>
          <t>Pendiente</t>
        </is>
      </c>
      <c r="J117" s="70" t="n"/>
    </row>
    <row r="118" ht="47.5" customHeight="1" s="52">
      <c r="A118" s="94" t="n">
        <v>46331</v>
      </c>
      <c r="B118" s="70" t="inlineStr">
        <is>
          <t>Jueves</t>
        </is>
      </c>
      <c r="C118" s="71" t="inlineStr">
        <is>
          <t>04:30</t>
        </is>
      </c>
      <c r="D118" s="74" t="inlineStr">
        <is>
          <t>Team/Coach</t>
        </is>
      </c>
      <c r="E118" s="62" t="inlineStr">
        <is>
          <t>ENVIAR cierre a IA Akranes</t>
        </is>
      </c>
      <c r="F118" s="70" t="inlineStr">
        <is>
          <t>Sale a las 04:30 hora Nueva York (09:30 allí) si lo programaste la víspera. No hace falta hacer nada a esta hora. Si es follow-up, se envía respondiendo al correo original (búscalo por destinatario en Outlook o Mail y pulsa Responder).</t>
        </is>
      </c>
      <c r="G118" s="70" t="inlineStr">
        <is>
          <t>Textos para copiar</t>
        </is>
      </c>
      <c r="H118" s="70" t="n"/>
      <c r="I118" s="70" t="inlineStr">
        <is>
          <t>Pendiente</t>
        </is>
      </c>
      <c r="J118" s="70" t="n"/>
    </row>
    <row r="119" ht="47.5" customHeight="1" s="52">
      <c r="A119" s="94" t="n">
        <v>46331</v>
      </c>
      <c r="B119" s="70" t="inlineStr">
        <is>
          <t>Jueves</t>
        </is>
      </c>
      <c r="C119" s="71" t="inlineStr">
        <is>
          <t>04:30</t>
        </is>
      </c>
      <c r="D119" s="74" t="inlineStr">
        <is>
          <t>Team/Coach</t>
        </is>
      </c>
      <c r="E119" s="62" t="inlineStr">
        <is>
          <t>ENVIAR cierre a Maidstone United</t>
        </is>
      </c>
      <c r="F119" s="70" t="inlineStr">
        <is>
          <t>Sale a las 04:30 hora Nueva York (09:30 allí) si lo programaste la víspera. No hace falta hacer nada a esta hora. Si es follow-up, se envía respondiendo al correo original (búscalo por destinatario en Outlook o Mail y pulsa Responder).</t>
        </is>
      </c>
      <c r="G119" s="70" t="inlineStr">
        <is>
          <t>Textos para copiar</t>
        </is>
      </c>
      <c r="H119" s="70" t="n"/>
      <c r="I119" s="70" t="inlineStr">
        <is>
          <t>Pendiente</t>
        </is>
      </c>
      <c r="J119" s="70" t="n"/>
    </row>
    <row r="120" ht="47.5" customHeight="1" s="52">
      <c r="A120" s="94" t="n">
        <v>46331</v>
      </c>
      <c r="B120" s="70" t="inlineStr">
        <is>
          <t>Jueves</t>
        </is>
      </c>
      <c r="C120" s="71" t="inlineStr">
        <is>
          <t>04:30</t>
        </is>
      </c>
      <c r="D120" s="74" t="inlineStr">
        <is>
          <t>Team/Coach</t>
        </is>
      </c>
      <c r="E120" s="62" t="inlineStr">
        <is>
          <t>ENVIAR cierre a Whitehaven AFC</t>
        </is>
      </c>
      <c r="F120" s="70" t="inlineStr">
        <is>
          <t>Sale a las 04:30 hora Nueva York (09:30 allí) si lo programaste la víspera. No hace falta hacer nada a esta hora. Si es follow-up, se envía respondiendo al correo original (búscalo por destinatario en Outlook o Mail y pulsa Responder).</t>
        </is>
      </c>
      <c r="G120" s="70" t="inlineStr">
        <is>
          <t>Textos para copiar</t>
        </is>
      </c>
      <c r="H120" s="70" t="n"/>
      <c r="I120" s="70" t="inlineStr">
        <is>
          <t>Pendiente</t>
        </is>
      </c>
      <c r="J120" s="70" t="n"/>
    </row>
    <row r="121" ht="62" customHeight="1" s="52">
      <c r="A121" s="94" t="n">
        <v>46331</v>
      </c>
      <c r="B121" s="70" t="inlineStr">
        <is>
          <t>Jueves</t>
        </is>
      </c>
      <c r="C121" s="71" t="inlineStr">
        <is>
          <t>8:00</t>
        </is>
      </c>
      <c r="D121" s="72" t="inlineStr">
        <is>
          <t>Todos</t>
        </is>
      </c>
      <c r="E121" s="62" t="inlineStr">
        <is>
          <t>Revisión diaria: bandeja, Instagram, WhatsApp</t>
        </is>
      </c>
      <c r="F121"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21" s="70" t="inlineStr">
        <is>
          <t>Textos para copiar (final de la hoja)</t>
        </is>
      </c>
      <c r="H121" s="70" t="n">
        <v>15</v>
      </c>
      <c r="I121" s="70" t="inlineStr">
        <is>
          <t>Pendiente</t>
        </is>
      </c>
      <c r="J121" s="70" t="n"/>
    </row>
    <row r="122" ht="76.5" customHeight="1" s="52">
      <c r="A122" s="94" t="n">
        <v>46331</v>
      </c>
      <c r="B122" s="70" t="inlineStr">
        <is>
          <t>Jueves</t>
        </is>
      </c>
      <c r="C122" s="71" t="inlineStr">
        <is>
          <t>8:00</t>
        </is>
      </c>
      <c r="D122" s="74" t="inlineStr">
        <is>
          <t>Team/Coach</t>
        </is>
      </c>
      <c r="E122" s="62" t="inlineStr">
        <is>
          <t>Confirmar que salieron los correos de hoy y mirar rebotes</t>
        </is>
      </c>
      <c r="F122"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122" s="70" t="inlineStr">
        <is>
          <t>Outlook buscador / Mail Enviados</t>
        </is>
      </c>
      <c r="H122" s="70" t="n">
        <v>10</v>
      </c>
      <c r="I122" s="70" t="inlineStr">
        <is>
          <t>Pendiente</t>
        </is>
      </c>
      <c r="J122" s="70" t="n"/>
    </row>
    <row r="123" ht="62" customHeight="1" s="52">
      <c r="A123" s="94" t="n">
        <v>46332</v>
      </c>
      <c r="B123" s="70" t="inlineStr">
        <is>
          <t>Viernes</t>
        </is>
      </c>
      <c r="C123" s="71" t="inlineStr">
        <is>
          <t>8:00</t>
        </is>
      </c>
      <c r="D123" s="72" t="inlineStr">
        <is>
          <t>Todos</t>
        </is>
      </c>
      <c r="E123" s="62" t="inlineStr">
        <is>
          <t>Revisión diaria: bandeja, Instagram, WhatsApp</t>
        </is>
      </c>
      <c r="F123"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23" s="70" t="inlineStr">
        <is>
          <t>Textos para copiar (final de la hoja)</t>
        </is>
      </c>
      <c r="H123" s="70" t="n">
        <v>15</v>
      </c>
      <c r="I123" s="70" t="inlineStr">
        <is>
          <t>Pendiente</t>
        </is>
      </c>
      <c r="J123" s="70" t="n"/>
    </row>
    <row r="124" ht="33" customHeight="1" s="52">
      <c r="A124" s="94" t="n">
        <v>46332</v>
      </c>
      <c r="B124" s="70" t="inlineStr">
        <is>
          <t>Viernes</t>
        </is>
      </c>
      <c r="C124" s="71" t="inlineStr">
        <is>
          <t>Libre</t>
        </is>
      </c>
      <c r="D124" s="72" t="inlineStr">
        <is>
          <t>Todos</t>
        </is>
      </c>
      <c r="E124" s="62" t="inlineStr">
        <is>
          <t>Revisión semanal 4: qué asunto y qué mensaje funcionan mejor</t>
        </is>
      </c>
      <c r="F124" s="70" t="inlineStr">
        <is>
          <t>Con ya 20 o 30 emails enviados se puede empezar a comparar. Pásame respuestas por email para ajustar.</t>
        </is>
      </c>
      <c r="G124" s="70" t="inlineStr">
        <is>
          <t>Hoy</t>
        </is>
      </c>
      <c r="H124" s="70" t="n">
        <v>20</v>
      </c>
      <c r="I124" s="70" t="inlineStr">
        <is>
          <t>Pendiente</t>
        </is>
      </c>
      <c r="J124" s="70" t="n"/>
    </row>
    <row r="125" ht="33" customHeight="1" s="52">
      <c r="A125" s="94" t="n">
        <v>46332</v>
      </c>
      <c r="B125" s="70" t="inlineStr">
        <is>
          <t>Viernes</t>
        </is>
      </c>
      <c r="C125" s="71" t="inlineStr">
        <is>
          <t>Libre</t>
        </is>
      </c>
      <c r="D125" s="72" t="inlineStr">
        <is>
          <t>Todos</t>
        </is>
      </c>
      <c r="E125" s="62" t="inlineStr">
        <is>
          <t>Actualizar el CRM con lo que ha pasado esta semana</t>
        </is>
      </c>
      <c r="F125" s="70" t="inlineStr">
        <is>
          <t>Estado y fecha de último contacto de cada club o lead. Así la hoja Hoy cuenta bien.</t>
        </is>
      </c>
      <c r="G125" s="70" t="inlineStr">
        <is>
          <t>Segmento A, B, C</t>
        </is>
      </c>
      <c r="H125" s="70" t="n">
        <v>15</v>
      </c>
      <c r="I125" s="70" t="inlineStr">
        <is>
          <t>Pendiente</t>
        </is>
      </c>
      <c r="J125" s="70" t="n"/>
    </row>
    <row r="126" ht="22" customHeight="1" s="52">
      <c r="A126" s="68" t="inlineStr">
        <is>
          <t>SEMANA  09/11 a 15/11</t>
        </is>
      </c>
    </row>
    <row r="127" ht="62" customHeight="1" s="52">
      <c r="A127" s="94" t="n">
        <v>46335</v>
      </c>
      <c r="B127" s="70" t="inlineStr">
        <is>
          <t>Lunes</t>
        </is>
      </c>
      <c r="C127" s="71" t="inlineStr">
        <is>
          <t>8:00</t>
        </is>
      </c>
      <c r="D127" s="72" t="inlineStr">
        <is>
          <t>Todos</t>
        </is>
      </c>
      <c r="E127" s="62" t="inlineStr">
        <is>
          <t>Revisión diaria: bandeja, Instagram, WhatsApp</t>
        </is>
      </c>
      <c r="F127"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27" s="70" t="inlineStr">
        <is>
          <t>Textos para copiar (final de la hoja)</t>
        </is>
      </c>
      <c r="H127" s="70" t="n">
        <v>15</v>
      </c>
      <c r="I127" s="70" t="inlineStr">
        <is>
          <t>Pendiente</t>
        </is>
      </c>
      <c r="J127" s="70" t="n"/>
    </row>
    <row r="128" ht="33" customHeight="1" s="52">
      <c r="A128" s="94" t="n">
        <v>46335</v>
      </c>
      <c r="B128" s="70" t="inlineStr">
        <is>
          <t>Lunes</t>
        </is>
      </c>
      <c r="C128" s="71" t="inlineStr">
        <is>
          <t>Libre</t>
        </is>
      </c>
      <c r="D128" s="74" t="inlineStr">
        <is>
          <t>Team/Coach</t>
        </is>
      </c>
      <c r="E128" s="62" t="inlineStr">
        <is>
          <t>Pedirme: «investiga 10 clubes más» para la siguiente tanda</t>
        </is>
      </c>
      <c r="F128" s="70" t="inlineStr">
        <is>
          <t>Escríbeme esa frase. Yo verifico decisor y email en la web del club y te dejo los correos listos en esta hoja antes del jueves.</t>
        </is>
      </c>
      <c r="G128" s="70" t="inlineStr">
        <is>
          <t>Chat con Claude</t>
        </is>
      </c>
      <c r="H128" s="70" t="n">
        <v>5</v>
      </c>
      <c r="I128" s="70" t="inlineStr">
        <is>
          <t>Pendiente</t>
        </is>
      </c>
      <c r="J128" s="70" t="n"/>
    </row>
    <row r="129" ht="33" customHeight="1" s="52">
      <c r="A129" s="94" t="n">
        <v>46335</v>
      </c>
      <c r="B129" s="70" t="inlineStr">
        <is>
          <t>Lunes</t>
        </is>
      </c>
      <c r="C129" s="71" t="inlineStr">
        <is>
          <t>Libre</t>
        </is>
      </c>
      <c r="D129" s="73" t="inlineStr">
        <is>
          <t>Becas</t>
        </is>
      </c>
      <c r="E129" s="62" t="inlineStr">
        <is>
          <t>Revisar leads de becas con acción vencida</t>
        </is>
      </c>
      <c r="F129" s="70" t="inlineStr">
        <is>
          <t>Pestaña Segmento C - Becas: ordena por 'Próxima acción'. Contesta o actualiza todo lo atrasado. Aplica las 4 preguntas de cualificación.</t>
        </is>
      </c>
      <c r="G129" s="70" t="inlineStr">
        <is>
          <t>Segmento C - Becas</t>
        </is>
      </c>
      <c r="H129" s="70" t="n">
        <v>20</v>
      </c>
      <c r="I129" s="70" t="inlineStr">
        <is>
          <t>Pendiente</t>
        </is>
      </c>
      <c r="J129" s="70" t="n"/>
    </row>
    <row r="130" ht="62" customHeight="1" s="52">
      <c r="A130" s="94" t="n">
        <v>46335</v>
      </c>
      <c r="B130" s="70" t="inlineStr">
        <is>
          <t>Lunes</t>
        </is>
      </c>
      <c r="C130" s="71" t="inlineStr">
        <is>
          <t>Libre</t>
        </is>
      </c>
      <c r="D130" s="72" t="inlineStr">
        <is>
          <t>Todos</t>
        </is>
      </c>
      <c r="E130" s="62" t="inlineStr">
        <is>
          <t>Revisión del mes con Claude (45 min)</t>
        </is>
      </c>
      <c r="F130" s="70" t="inlineStr">
        <is>
          <t>Resultados, qué cambiamos, qué dejamos y plan del segundo mes. Comprobamos si llegamos a la primera venta real. Valoramos también la automatización del envío (objetivo de Joel: cientos de correos a la semana): Google Workspace, herramienta de envíos con calentamiento y qué se puede delegar.</t>
        </is>
      </c>
      <c r="G130" s="70" t="inlineStr">
        <is>
          <t>Chat con Claude</t>
        </is>
      </c>
      <c r="H130" s="70" t="n">
        <v>45</v>
      </c>
      <c r="I130" s="70" t="inlineStr">
        <is>
          <t>Pendiente</t>
        </is>
      </c>
      <c r="J130" s="70" t="n"/>
    </row>
    <row r="131" ht="134.5" customHeight="1" s="52">
      <c r="A131" s="94" t="n">
        <v>46335</v>
      </c>
      <c r="B131" s="70" t="inlineStr">
        <is>
          <t>Lunes</t>
        </is>
      </c>
      <c r="C131" s="71" t="inlineStr">
        <is>
          <t>Tarde</t>
        </is>
      </c>
      <c r="D131" s="74" t="inlineStr">
        <is>
          <t>Team/Coach</t>
        </is>
      </c>
      <c r="E131" s="62" t="inlineStr">
        <is>
          <t>Programar en Apple Mail los envíos del martes 10/11</t>
        </is>
      </c>
      <c r="F131" s="70" t="inlineStr">
        <is>
          <t>Para cada correo: copia Para, Asunto y Texto de la hoja 'Textos para copiar' (filtra por la fecha 10/11). Revisa en 30 segundos: saludo, nombre del club, firma, sin adjuntos. En Mail: flecha junto a Enviar &gt; Enviar más tarde &gt; fecha y hora indicadas.
• FC Porte d'Aquitaine | Cierre | programar para las 03:30 hora Nueva York (09:30 allí)
• Virtu Academy | Cierre | programar para las 04:30 hora Nueva York (09:30 allí)
Regla: una vez programado, NO lo envíes a mano (se duplicaría). Si a las 08:00 no aparece enviado, entonces sí.</t>
        </is>
      </c>
      <c r="G131" s="70" t="inlineStr">
        <is>
          <t>Textos para copiar</t>
        </is>
      </c>
      <c r="H131" s="70" t="n">
        <v>25</v>
      </c>
      <c r="I131" s="70" t="inlineStr">
        <is>
          <t>Pendiente</t>
        </is>
      </c>
      <c r="J131" s="70" t="n"/>
    </row>
    <row r="132" ht="47.5" customHeight="1" s="52">
      <c r="A132" s="94" t="n">
        <v>46336</v>
      </c>
      <c r="B132" s="70" t="inlineStr">
        <is>
          <t>Martes</t>
        </is>
      </c>
      <c r="C132" s="71" t="inlineStr">
        <is>
          <t>03:30</t>
        </is>
      </c>
      <c r="D132" s="74" t="inlineStr">
        <is>
          <t>Team/Coach</t>
        </is>
      </c>
      <c r="E132" s="62" t="inlineStr">
        <is>
          <t>ENVIAR cierre a FC Porte d'Aquitaine</t>
        </is>
      </c>
      <c r="F132" s="70" t="inlineStr">
        <is>
          <t>Sale a las 03:30 hora Nueva York (09:30 allí) si lo programaste la víspera. No hace falta hacer nada a esta hora. Si es follow-up, se envía respondiendo al correo original (búscalo por destinatario en Outlook o Mail y pulsa Responder).</t>
        </is>
      </c>
      <c r="G132" s="70" t="inlineStr">
        <is>
          <t>Textos para copiar</t>
        </is>
      </c>
      <c r="H132" s="70" t="n"/>
      <c r="I132" s="70" t="inlineStr">
        <is>
          <t>Pendiente</t>
        </is>
      </c>
      <c r="J132" s="70" t="n"/>
    </row>
    <row r="133" ht="47.5" customHeight="1" s="52">
      <c r="A133" s="94" t="n">
        <v>46336</v>
      </c>
      <c r="B133" s="70" t="inlineStr">
        <is>
          <t>Martes</t>
        </is>
      </c>
      <c r="C133" s="71" t="inlineStr">
        <is>
          <t>04:30</t>
        </is>
      </c>
      <c r="D133" s="74" t="inlineStr">
        <is>
          <t>Team/Coach</t>
        </is>
      </c>
      <c r="E133" s="62" t="inlineStr">
        <is>
          <t>ENVIAR cierre a Virtu Academy</t>
        </is>
      </c>
      <c r="F133" s="70" t="inlineStr">
        <is>
          <t>Sale a las 04:30 hora Nueva York (09:30 allí) si lo programaste la víspera. No hace falta hacer nada a esta hora. Si es follow-up, se envía respondiendo al correo original (búscalo por destinatario en Outlook o Mail y pulsa Responder).</t>
        </is>
      </c>
      <c r="G133" s="70" t="inlineStr">
        <is>
          <t>Textos para copiar</t>
        </is>
      </c>
      <c r="H133" s="70" t="n"/>
      <c r="I133" s="70" t="inlineStr">
        <is>
          <t>Pendiente</t>
        </is>
      </c>
      <c r="J133" s="70" t="n"/>
    </row>
    <row r="134" ht="62" customHeight="1" s="52">
      <c r="A134" s="94" t="n">
        <v>46336</v>
      </c>
      <c r="B134" s="70" t="inlineStr">
        <is>
          <t>Martes</t>
        </is>
      </c>
      <c r="C134" s="71" t="inlineStr">
        <is>
          <t>8:00</t>
        </is>
      </c>
      <c r="D134" s="72" t="inlineStr">
        <is>
          <t>Todos</t>
        </is>
      </c>
      <c r="E134" s="62" t="inlineStr">
        <is>
          <t>Revisión diaria: bandeja, Instagram, WhatsApp</t>
        </is>
      </c>
      <c r="F134"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34" s="70" t="inlineStr">
        <is>
          <t>Textos para copiar (final de la hoja)</t>
        </is>
      </c>
      <c r="H134" s="70" t="n">
        <v>15</v>
      </c>
      <c r="I134" s="70" t="inlineStr">
        <is>
          <t>Pendiente</t>
        </is>
      </c>
      <c r="J134" s="70" t="n"/>
    </row>
    <row r="135" ht="76.5" customHeight="1" s="52">
      <c r="A135" s="94" t="n">
        <v>46336</v>
      </c>
      <c r="B135" s="70" t="inlineStr">
        <is>
          <t>Martes</t>
        </is>
      </c>
      <c r="C135" s="71" t="inlineStr">
        <is>
          <t>8:00</t>
        </is>
      </c>
      <c r="D135" s="74" t="inlineStr">
        <is>
          <t>Team/Coach</t>
        </is>
      </c>
      <c r="E135" s="62" t="inlineStr">
        <is>
          <t>Confirmar que salieron los correos de hoy y mirar rebotes</t>
        </is>
      </c>
      <c r="F135" s="70" t="inlineStr">
        <is>
          <t>Para cada correo: en Outlook, buscador &gt; escribe el destinatario &gt; 'All folders' (el correo puede estar en 'INBOX.Sent' o 'Sent Messages', no solo en 'Sent'); o en Mail, mira el buzón Enviados. Si aparece: marca Hecho en 'Textos para copiar'. Si NO aparece: envíalo ya a mano. Después mira Recibidos por si hay rebote ('Undeliverable' o 'permanent fatal errors'); si lo hay, anótalo y avísame.</t>
        </is>
      </c>
      <c r="G135" s="70" t="inlineStr">
        <is>
          <t>Outlook buscador / Mail Enviados</t>
        </is>
      </c>
      <c r="H135" s="70" t="n">
        <v>10</v>
      </c>
      <c r="I135" s="70" t="inlineStr">
        <is>
          <t>Pendiente</t>
        </is>
      </c>
      <c r="J135" s="70" t="n"/>
    </row>
    <row r="136" ht="62" customHeight="1" s="52">
      <c r="A136" s="94" t="n">
        <v>46337</v>
      </c>
      <c r="B136" s="70" t="inlineStr">
        <is>
          <t>Miércoles</t>
        </is>
      </c>
      <c r="C136" s="71" t="inlineStr">
        <is>
          <t>8:00</t>
        </is>
      </c>
      <c r="D136" s="72" t="inlineStr">
        <is>
          <t>Todos</t>
        </is>
      </c>
      <c r="E136" s="62" t="inlineStr">
        <is>
          <t>Revisión diaria: bandeja, Instagram, WhatsApp</t>
        </is>
      </c>
      <c r="F136"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36" s="70" t="inlineStr">
        <is>
          <t>Textos para copiar (final de la hoja)</t>
        </is>
      </c>
      <c r="H136" s="70" t="n">
        <v>15</v>
      </c>
      <c r="I136" s="70" t="inlineStr">
        <is>
          <t>Pendiente</t>
        </is>
      </c>
      <c r="J136" s="70" t="n"/>
    </row>
    <row r="137" ht="62" customHeight="1" s="52">
      <c r="A137" s="94" t="n">
        <v>46338</v>
      </c>
      <c r="B137" s="70" t="inlineStr">
        <is>
          <t>Jueves</t>
        </is>
      </c>
      <c r="C137" s="71" t="inlineStr">
        <is>
          <t>8:00</t>
        </is>
      </c>
      <c r="D137" s="72" t="inlineStr">
        <is>
          <t>Todos</t>
        </is>
      </c>
      <c r="E137" s="62" t="inlineStr">
        <is>
          <t>Revisión diaria: bandeja, Instagram, WhatsApp</t>
        </is>
      </c>
      <c r="F137"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37" s="70" t="inlineStr">
        <is>
          <t>Textos para copiar (final de la hoja)</t>
        </is>
      </c>
      <c r="H137" s="70" t="n">
        <v>15</v>
      </c>
      <c r="I137" s="70" t="inlineStr">
        <is>
          <t>Pendiente</t>
        </is>
      </c>
      <c r="J137" s="70" t="n"/>
    </row>
    <row r="138" ht="62" customHeight="1" s="52">
      <c r="A138" s="94" t="n">
        <v>46339</v>
      </c>
      <c r="B138" s="70" t="inlineStr">
        <is>
          <t>Viernes</t>
        </is>
      </c>
      <c r="C138" s="71" t="inlineStr">
        <is>
          <t>8:00</t>
        </is>
      </c>
      <c r="D138" s="72" t="inlineStr">
        <is>
          <t>Todos</t>
        </is>
      </c>
      <c r="E138" s="62" t="inlineStr">
        <is>
          <t>Revisión diaria: bandeja, Instagram, WhatsApp</t>
        </is>
      </c>
      <c r="F138" s="70" t="inlineStr">
        <is>
          <t>1) Outlook: mira Recibidos y busca rebotes (correos del sistema que dicen 'Undeliverable' o 'permanent fatal errors'). 2) Instagram y WhatsApp: responde a todo lo que haya entrado, máximo 12 h de espera. 3) Si un club ha contestado: para su cadencia y usa 'Respuestas tipo' en la hoja Textos para copiar.</t>
        </is>
      </c>
      <c r="G138" s="70" t="inlineStr">
        <is>
          <t>Textos para copiar (final de la hoja)</t>
        </is>
      </c>
      <c r="H138" s="70" t="n">
        <v>15</v>
      </c>
      <c r="I138" s="70" t="inlineStr">
        <is>
          <t>Pendiente</t>
        </is>
      </c>
      <c r="J138" s="70" t="n"/>
    </row>
    <row r="139" ht="33" customHeight="1" s="52">
      <c r="A139" s="94" t="n">
        <v>46339</v>
      </c>
      <c r="B139" s="70" t="inlineStr">
        <is>
          <t>Viernes</t>
        </is>
      </c>
      <c r="C139" s="71" t="inlineStr">
        <is>
          <t>Libre</t>
        </is>
      </c>
      <c r="D139" s="72" t="inlineStr">
        <is>
          <t>Todos</t>
        </is>
      </c>
      <c r="E139" s="62" t="inlineStr">
        <is>
          <t>Actualizar el CRM con lo que ha pasado esta semana</t>
        </is>
      </c>
      <c r="F139" s="70" t="inlineStr">
        <is>
          <t>Estado y fecha de último contacto de cada club o lead. Así la hoja Hoy cuenta bien.</t>
        </is>
      </c>
      <c r="G139" s="70" t="inlineStr">
        <is>
          <t>Segmento A, B, C</t>
        </is>
      </c>
      <c r="H139" s="70" t="n">
        <v>15</v>
      </c>
      <c r="I139" s="70" t="inlineStr">
        <is>
          <t>Pendiente</t>
        </is>
      </c>
      <c r="J139" s="70" t="n"/>
    </row>
  </sheetData>
  <autoFilter ref="A4:J139"/>
  <mergeCells count="6">
    <mergeCell ref="A5:J5"/>
    <mergeCell ref="A2:I2"/>
    <mergeCell ref="A126:J126"/>
    <mergeCell ref="A64:J64"/>
    <mergeCell ref="A98:J98"/>
    <mergeCell ref="A33:J33"/>
  </mergeCells>
  <conditionalFormatting sqref="A5:J139">
    <cfRule type="expression" priority="1" dxfId="3" stopIfTrue="1">
      <formula>$I5="Hecho"</formula>
    </cfRule>
    <cfRule type="expression" priority="2" dxfId="4">
      <formula>$A5=TODAY()</formula>
    </cfRule>
  </conditionalFormatting>
  <conditionalFormatting sqref="I5:I139">
    <cfRule type="expression" priority="3" dxfId="5">
      <formula>AND(ISNUMBER($A5),$A5&lt;TODAY(),$I5="Pendiente")</formula>
    </cfRule>
  </conditionalFormatting>
  <dataValidations count="1">
    <dataValidation sqref="I6 I7 I8 I9 I10 I11 I12 I13 I14 I15 I16 I17 I18 I19 I20 I21 I22 I23 I24 I25 I26 I27 I28 I29 I30 I31 I32 I34 I35 I36 I37 I38 I39 I40 I41 I42 I43 I44 I45 I46 I47 I48 I49 I50 I51 I52 I53 I54 I55 I56 I57 I58 I59 I60 I61 I62 I63 I65 I66 I67 I68 I69 I70 I71 I72 I73 I74 I75 I76 I77 I78 I79 I80 I81 I82 I83 I84 I85 I86 I87 I88 I89 I90 I91 I92 I93 I94 I95 I96 I97 I99 I100 I101 I102 I103 I104 I105 I106 I107 I108 I109 I110 I111 I112 I113 I114 I115 I116 I117 I118 I119 I120 I121 I122 I123 I124 I125 I127 I128 I129 I130 I131 I132 I133 I134 I135 I136 I137 I138 I139" showDropDown="0" showInputMessage="0" showErrorMessage="0" allowBlank="1" type="list">
      <formula1>"Pendiente,Hecho,Saltado"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E10" sqref="E10"/>
    </sheetView>
  </sheetViews>
  <sheetFormatPr baseColWidth="10" defaultColWidth="8.83203125" defaultRowHeight="15"/>
  <cols>
    <col width="50" customWidth="1" style="52" min="1" max="1"/>
    <col width="18" customWidth="1" style="52" min="2" max="2"/>
    <col width="16" customWidth="1" style="52" min="3" max="5"/>
    <col width="18" customWidth="1" style="52" min="6" max="6"/>
    <col width="12" customWidth="1" style="52" min="7" max="7"/>
  </cols>
  <sheetData>
    <row r="1" ht="18" customHeight="1" s="52">
      <c r="A1" s="55" t="inlineStr">
        <is>
          <t>Plan de ventas — panel diario Always Up</t>
        </is>
      </c>
    </row>
    <row r="2">
      <c r="A2" s="56" t="inlineStr">
        <is>
          <t>Actualizar cada día de trabajo. Fecha de última actualización:</t>
        </is>
      </c>
      <c r="E2" s="1">
        <f>TODAY()</f>
        <v/>
      </c>
    </row>
    <row r="4" ht="16" customHeight="1" s="52">
      <c r="A4" s="2" t="inlineStr">
        <is>
          <t>🔴 URGENTE — mirar esto primero</t>
        </is>
      </c>
    </row>
    <row r="5" ht="28" customHeight="1" s="52">
      <c r="A5" s="3" t="inlineStr">
        <is>
          <t>Qué</t>
        </is>
      </c>
      <c r="B5" s="3" t="inlineStr">
        <is>
          <t>Cuántos ahora (se calcula solo)</t>
        </is>
      </c>
    </row>
    <row r="6">
      <c r="A6" s="4" t="inlineStr">
        <is>
          <t>Follow-ups de clubes atrasados (enviado hace más de 10 días, sin respuesta)</t>
        </is>
      </c>
      <c r="B6" s="4">
        <f>COUNTIFS('Segmento A - Clubes'!I2:I300,"Enviado",'Segmento A - Clubes'!M2:M300,"&lt;&gt;",'Segmento A - Clubes'!M2:M300,"&lt;"&amp;(TODAY()-10))+COUNTIFS('Segmento B - America'!H2:H300,"Enviado",'Segmento B - America'!L2:L300,"&lt;&gt;",'Segmento B - America'!L2:L300,"&lt;"&amp;(TODAY()-10))</f>
        <v/>
      </c>
    </row>
    <row r="7">
      <c r="A7" s="4" t="inlineStr">
        <is>
          <t>Leads de becas con llamada agendada (confirmar/preparar)</t>
        </is>
      </c>
      <c r="B7" s="4">
        <f>COUNTIF('Segmento C - Becas'!E2:E300,"Llamada agendada")</f>
        <v/>
      </c>
    </row>
    <row r="8">
      <c r="A8" s="4" t="inlineStr">
        <is>
          <t>Leads de becas cualificados sin próxima acción clara desde hace tiempo (revisar a mano)</t>
        </is>
      </c>
      <c r="B8" s="4">
        <f>COUNTIF('Segmento C - Becas'!E2:E300,"Cualificado")</f>
        <v/>
      </c>
    </row>
    <row r="10" ht="16" customHeight="1" s="52">
      <c r="A10" s="5" t="inlineStr">
        <is>
          <t>🟠 OUTBOUND — lo que generas tú hoy</t>
        </is>
      </c>
    </row>
    <row r="11" ht="28" customHeight="1" s="52">
      <c r="A11" s="3" t="inlineStr">
        <is>
          <t>Métrica</t>
        </is>
      </c>
      <c r="B11" s="3" t="inlineStr">
        <is>
          <t>Meta semanal</t>
        </is>
      </c>
      <c r="C11" s="3" t="inlineStr">
        <is>
          <t>Hecho hoy (rellenar tú)</t>
        </is>
      </c>
    </row>
    <row r="12">
      <c r="A12" s="4" t="inlineStr">
        <is>
          <t>Nuevos clubes/academias investigados con decisor y email verificados</t>
        </is>
      </c>
      <c r="B12" s="4" t="inlineStr">
        <is>
          <t>10</t>
        </is>
      </c>
      <c r="C12" s="6" t="n"/>
    </row>
    <row r="13">
      <c r="A13" s="4" t="inlineStr">
        <is>
          <t>Emails de outreach nuevos enviados</t>
        </is>
      </c>
      <c r="B13" s="4" t="inlineStr">
        <is>
          <t>5 a 8</t>
        </is>
      </c>
      <c r="C13" s="6" t="n"/>
    </row>
    <row r="14">
      <c r="A14" s="4" t="inlineStr">
        <is>
          <t>Conexiones de LinkedIn con nota personalizada</t>
        </is>
      </c>
      <c r="B14" s="4" t="inlineStr">
        <is>
          <t>5</t>
        </is>
      </c>
      <c r="C14" s="6" t="n"/>
    </row>
    <row r="17" ht="16" customHeight="1" s="52">
      <c r="A17" s="5" t="inlineStr">
        <is>
          <t>🟢 INBOUND — lo que te llega a ti</t>
        </is>
      </c>
    </row>
    <row r="18" ht="28" customHeight="1" s="52">
      <c r="A18" s="3" t="inlineStr">
        <is>
          <t>Qué</t>
        </is>
      </c>
      <c r="B18" s="3" t="inlineStr">
        <is>
          <t>Cuántos ahora (se calcula solo)</t>
        </is>
      </c>
    </row>
    <row r="19">
      <c r="A19" s="4" t="inlineStr">
        <is>
          <t>Leads de becas nuevos sin cualificar todavía</t>
        </is>
      </c>
      <c r="B19" s="4">
        <f>COUNTIF('Segmento C - Becas'!E2:E300,"Nuevo")</f>
        <v/>
      </c>
    </row>
    <row r="21" ht="16" customHeight="1" s="52">
      <c r="A21" s="5" t="inlineStr">
        <is>
          <t>📊 PIPELINE — resumen por segmento (detalle completo en pestaña Dashboard)</t>
        </is>
      </c>
    </row>
    <row r="22">
      <c r="A22" s="3" t="inlineStr">
        <is>
          <t>Segmento</t>
        </is>
      </c>
      <c r="B22" s="3" t="inlineStr">
        <is>
          <t>Total en lista</t>
        </is>
      </c>
      <c r="C22" s="3" t="inlineStr">
        <is>
          <t>Listo para enviar</t>
        </is>
      </c>
      <c r="D22" s="3" t="inlineStr">
        <is>
          <t>Enviado</t>
        </is>
      </c>
      <c r="E22" s="3" t="inlineStr">
        <is>
          <t>Respondido</t>
        </is>
      </c>
      <c r="F22" s="3" t="inlineStr">
        <is>
          <t>Llamada agendada</t>
        </is>
      </c>
      <c r="G22" s="3" t="inlineStr">
        <is>
          <t>Cerrado</t>
        </is>
      </c>
    </row>
    <row r="23">
      <c r="A23" s="4" t="inlineStr">
        <is>
          <t>Segmento A — Clubes juveniles</t>
        </is>
      </c>
      <c r="B23" s="4">
        <f>COUNTA('Segmento A - Clubes'!A2:A300)</f>
        <v/>
      </c>
      <c r="C23" s="4">
        <f>COUNTIF('Segmento A - Clubes'!I2:I300,"Listo para enviar")</f>
        <v/>
      </c>
      <c r="D23" s="4">
        <f>COUNTIF('Segmento A - Clubes'!I2:I300,"Enviado")</f>
        <v/>
      </c>
      <c r="E23" s="4">
        <f>COUNTIF('Segmento A - Clubes'!I2:I300,"Respondido")</f>
        <v/>
      </c>
      <c r="F23" s="4">
        <f>COUNTIF('Segmento A - Clubes'!I2:I300,"Llamada agendada")</f>
        <v/>
      </c>
      <c r="G23" s="4">
        <f>COUNTIF('Segmento A - Clubes'!I2:I300,"Cerrado")</f>
        <v/>
      </c>
    </row>
    <row r="24">
      <c r="A24" s="4" t="inlineStr">
        <is>
          <t>Segmento B — Univ./clubes América</t>
        </is>
      </c>
      <c r="B24" s="4">
        <f>COUNTA('Segmento B - America'!A2:A300)</f>
        <v/>
      </c>
      <c r="C24" s="4">
        <f>COUNTIF('Segmento B - America'!H2:H300,"Listo para enviar")</f>
        <v/>
      </c>
      <c r="D24" s="4">
        <f>COUNTIF('Segmento B - America'!H2:H300,"Enviado")</f>
        <v/>
      </c>
      <c r="E24" s="4">
        <f>COUNTIF('Segmento B - America'!H2:H300,"Respondido")</f>
        <v/>
      </c>
      <c r="F24" s="4">
        <f>COUNTIF('Segmento B - America'!H2:H300,"Llamada agendada")</f>
        <v/>
      </c>
      <c r="G24" s="4">
        <f>COUNTIF('Segmento B - America'!H2:H300,"Cerrado")</f>
        <v/>
      </c>
    </row>
    <row r="26">
      <c r="A26" s="7" t="inlineStr">
        <is>
          <t>Segmento C — Becas</t>
        </is>
      </c>
    </row>
    <row r="27">
      <c r="A27" s="3" t="inlineStr">
        <is>
          <t>Etapa</t>
        </is>
      </c>
      <c r="B27" s="3" t="inlineStr">
        <is>
          <t>Total</t>
        </is>
      </c>
    </row>
    <row r="28">
      <c r="A28" s="4" t="inlineStr">
        <is>
          <t>Nuevo</t>
        </is>
      </c>
      <c r="B28" s="4">
        <f>COUNTIF('Segmento C - Becas'!E2:E300,"Nuevo")</f>
        <v/>
      </c>
    </row>
    <row r="29">
      <c r="A29" s="4" t="inlineStr">
        <is>
          <t>Cualificado</t>
        </is>
      </c>
      <c r="B29" s="4">
        <f>COUNTIF('Segmento C - Becas'!E2:E300,"Cualificado")</f>
        <v/>
      </c>
    </row>
    <row r="30">
      <c r="A30" s="4" t="inlineStr">
        <is>
          <t>Llamada agendada</t>
        </is>
      </c>
      <c r="B30" s="4">
        <f>COUNTIF('Segmento C - Becas'!E2:E300,"Llamada agendada")</f>
        <v/>
      </c>
    </row>
    <row r="31">
      <c r="A31" s="4" t="inlineStr">
        <is>
          <t>Llamada realizada</t>
        </is>
      </c>
      <c r="B31" s="4">
        <f>COUNTIF('Segmento C - Becas'!E2:E300,"Llamada realizada")</f>
        <v/>
      </c>
    </row>
    <row r="32">
      <c r="A32" s="4" t="inlineStr">
        <is>
          <t>Cerrado</t>
        </is>
      </c>
      <c r="B32" s="4">
        <f>COUNTIF('Segmento C - Becas'!E2:E300,"Cerrado")</f>
        <v/>
      </c>
    </row>
    <row r="33">
      <c r="A33" s="4" t="inlineStr">
        <is>
          <t>Perdido</t>
        </is>
      </c>
      <c r="B33" s="4">
        <f>COUNTIF('Segmento C - Becas'!E2:E300,"Perdido")</f>
        <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0B1F3A"/>
    <outlinePr summaryBelow="1" summaryRight="1"/>
    <pageSetUpPr/>
  </sheetPr>
  <dimension ref="A1:K61"/>
  <sheetViews>
    <sheetView workbookViewId="0">
      <pane ySplit="4" topLeftCell="A5" activePane="bottomLeft" state="frozen"/>
      <selection pane="bottomLeft" activeCell="A1" sqref="A1"/>
    </sheetView>
  </sheetViews>
  <sheetFormatPr baseColWidth="8" defaultRowHeight="15"/>
  <cols>
    <col width="11" customWidth="1" style="52" min="1" max="1"/>
    <col width="9" customWidth="1" style="52" min="2" max="2"/>
    <col width="14" customWidth="1" style="52" min="3" max="3"/>
    <col width="26" customWidth="1" style="52" min="4" max="4"/>
    <col width="15" customWidth="1" style="52" min="5" max="5"/>
    <col width="30" customWidth="1" style="52" min="6" max="6"/>
    <col width="34" customWidth="1" style="52" min="7" max="7"/>
    <col width="78" customWidth="1" style="52" min="8" max="8"/>
    <col width="44" customWidth="1" style="52" min="9" max="9"/>
    <col width="14" customWidth="1" style="52" min="10" max="10"/>
    <col width="36" customWidth="1" style="52" min="11" max="11"/>
  </cols>
  <sheetData>
    <row r="1" ht="26" customHeight="1" s="52">
      <c r="A1" s="64" t="inlineStr">
        <is>
          <t>Textos para copiar y pegar</t>
        </is>
      </c>
    </row>
    <row r="2" ht="46" customHeight="1" s="52">
      <c r="A2" s="65" t="inlineStr">
        <is>
          <t>Una fila por envío, ordenada por fecha. Filtra la columna Fecha para ver solo el día que toca. Copia Para, Asunto y Texto sin cambiar nada: la firma ya va incluida. Hora = a qué hora de Nueva York programar el envío (son las 09:30 en el país del club). Los textos están revisados por Claude: sin guiones largos, sin placeholders, saludo a una sola persona.</t>
        </is>
      </c>
    </row>
    <row r="4" ht="30" customHeight="1" s="52">
      <c r="A4" s="66" t="inlineStr">
        <is>
          <t>Fecha</t>
        </is>
      </c>
      <c r="B4" s="66" t="inlineStr">
        <is>
          <t>Día</t>
        </is>
      </c>
      <c r="C4" s="66" t="inlineStr">
        <is>
          <t>Programar para (NY)</t>
        </is>
      </c>
      <c r="D4" s="66" t="inlineStr">
        <is>
          <t>Club</t>
        </is>
      </c>
      <c r="E4" s="66" t="inlineStr">
        <is>
          <t>Tipo</t>
        </is>
      </c>
      <c r="F4" s="66" t="inlineStr">
        <is>
          <t>Para</t>
        </is>
      </c>
      <c r="G4" s="66" t="inlineStr">
        <is>
          <t>Asunto</t>
        </is>
      </c>
      <c r="H4" s="66" t="inlineStr">
        <is>
          <t>Texto para pegar</t>
        </is>
      </c>
      <c r="I4" s="66" t="inlineStr">
        <is>
          <t>Cómo enviarlo</t>
        </is>
      </c>
      <c r="J4" s="66" t="inlineStr">
        <is>
          <t>Hecho (fecha real)</t>
        </is>
      </c>
      <c r="K4" s="66" t="inlineStr">
        <is>
          <t>Qué hacer si...</t>
        </is>
      </c>
    </row>
    <row r="5" ht="279.5" customHeight="1" s="52">
      <c r="A5" s="95" t="n">
        <v>46309</v>
      </c>
      <c r="B5" s="78" t="inlineStr">
        <is>
          <t>Miércoles</t>
        </is>
      </c>
      <c r="C5" s="79" t="inlineStr">
        <is>
          <t>04:30 (09:30 allí)</t>
        </is>
      </c>
      <c r="D5" s="78" t="inlineStr">
        <is>
          <t>Holbeach United</t>
        </is>
      </c>
      <c r="E5" s="78" t="inlineStr">
        <is>
          <t>Email 1</t>
        </is>
      </c>
      <c r="F5" s="78" t="inlineStr">
        <is>
          <t>callum@holbeachunitedacademy.com</t>
        </is>
      </c>
      <c r="G5" s="78" t="inlineStr">
        <is>
          <t>A week in Spain for Holbeach's academy squads</t>
        </is>
      </c>
      <c r="H5" s="78" t="inlineStr">
        <is>
          <t>Hi Callum,
I'm Joel, I run Always Up. We take youth teams to Spain for a week of training at Atlético de Madrid and Real Sociedad facilities, with matches against local academy sides, a stadium tour, and accommodation and meals all sorted.
I saw Holbeach was down for the Costa Daurada Cup this year, and your Football &amp; Education Academy made me think a week like this could suit your older squads.
One of our partner clubs in Ireland won their first ever league title after a few years of coming out with us, and their coaches said the trip helped.
Would you be up for a quick call next week? If you'd rather see the details first, I'm happy to send a short overview.
Best,
Joel Martinez
Founder, Always Up
joel.martinez@alwaysup.es | +1 (814) 329 1929 | alwaysup.es</t>
        </is>
      </c>
      <c r="I5" s="78" t="inlineStr">
        <is>
          <t>En Mail: correo nuevo desde joel.martinez@alwaysup.es. Pega Para, Asunto y Texto tal cual (la firma ya va dentro). Sin adjuntos. Flecha junto a Enviar &gt; Enviar más tarde &gt; fecha y la hora de la columna C. Una vez programado, no lo envíes a mano.</t>
        </is>
      </c>
      <c r="J5" s="78" t="n"/>
      <c r="K5" s="78" t="inlineStr">
        <is>
          <t>Rebota: avísame y busco otra dirección. Contesta: para la cadencia y mira 'Respuestas tipo' abajo.</t>
        </is>
      </c>
    </row>
    <row r="6" ht="294" customHeight="1" s="52">
      <c r="A6" s="95" t="n">
        <v>46309</v>
      </c>
      <c r="B6" s="78" t="inlineStr">
        <is>
          <t>Miércoles</t>
        </is>
      </c>
      <c r="C6" s="79" t="inlineStr">
        <is>
          <t>03:30 (09:30 allí)</t>
        </is>
      </c>
      <c r="D6" s="78" t="inlineStr">
        <is>
          <t>Søreide IL</t>
        </is>
      </c>
      <c r="E6" s="78" t="inlineStr">
        <is>
          <t>Email 1</t>
        </is>
      </c>
      <c r="F6" s="78" t="inlineStr">
        <is>
          <t>fotball@soreideil.no</t>
        </is>
      </c>
      <c r="G6" s="78" t="inlineStr">
        <is>
          <t>A week in Spain for Søreide's youth teams</t>
        </is>
      </c>
      <c r="H6" s="78" t="inlineStr">
        <is>
          <t>Hi Marius and Gunn,
I'm Joel, I run Always Up. My first email bounced from your youth committee address, so I'm writing to you directly.
We take youth teams to Spain for a week of training at Atlético de Madrid and Real Sociedad facilities, with matches against local academy sides and accommodation and meals all sorted.
I saw Søreide was down for the Costa Daurada Cup this summer, so Spain may already be on your radar. One of our partner clubs in Ireland won their first ever league title after a few years with us.
Would you be up for a quick call next week? Or I can send a short overview first if that's easier.
Best,
Joel Martinez
Founder, Always Up
joel.martinez@alwaysup.es | +1 (814) 329 1929 | alwaysup.es</t>
        </is>
      </c>
      <c r="I6" s="78" t="inlineStr">
        <is>
          <t>En Mail: correo nuevo desde joel.martinez@alwaysup.es. Pega Para, Asunto y Texto tal cual (la firma ya va dentro). Sin adjuntos. Flecha junto a Enviar &gt; Enviar más tarde &gt; fecha y la hora de la columna C. Una vez programado, no lo envíes a mano.</t>
        </is>
      </c>
      <c r="J6" s="78" t="n"/>
      <c r="K6" s="78" t="inlineStr">
        <is>
          <t>Rebota: avísame y busco otra dirección. Contesta: para la cadencia y mira 'Respuestas tipo' abajo.</t>
        </is>
      </c>
    </row>
    <row r="7" ht="62" customHeight="1" s="52">
      <c r="A7" s="96" t="n">
        <v>46310</v>
      </c>
      <c r="B7" s="81" t="inlineStr">
        <is>
          <t>Jueves</t>
        </is>
      </c>
      <c r="C7" s="82" t="inlineStr">
        <is>
          <t>Libre</t>
        </is>
      </c>
      <c r="D7" s="81" t="inlineStr">
        <is>
          <t>Hastings United (Girls Academy)</t>
        </is>
      </c>
      <c r="E7" s="81" t="inlineStr">
        <is>
          <t>LinkedIn conectar</t>
        </is>
      </c>
      <c r="F7" s="81" t="inlineStr">
        <is>
          <t>Georgia Townsend</t>
        </is>
      </c>
      <c r="G7" s="81" t="inlineStr">
        <is>
          <t>(nota de conexión)</t>
        </is>
      </c>
      <c r="H7" s="81" t="inlineStr">
        <is>
          <t>Hi Georgia, I'm Joel, I run Always Up. We take youth teams to Spain to train with Atlético de Madrid and Real Sociedad. I emailed you this week and thought I'd connect here too. Joel</t>
        </is>
      </c>
      <c r="I7" s="81" t="inlineStr">
        <is>
          <t>A mano en LinkedIn: perfil de la persona &gt; Conectar &gt; Añadir nota &gt; pegar el texto (máx. 300 caracteres). Si no deja añadir nota, conecta sin nota y manda el texto cuando acepte.</t>
        </is>
      </c>
      <c r="J7" s="81" t="n"/>
      <c r="K7" s="81" t="inlineStr">
        <is>
          <t>Si acepta, no mandes más mensajes hasta que conteste al email.</t>
        </is>
      </c>
    </row>
    <row r="8" ht="236" customHeight="1" s="52">
      <c r="A8" s="95" t="n">
        <v>46310</v>
      </c>
      <c r="B8" s="78" t="inlineStr">
        <is>
          <t>Jueves</t>
        </is>
      </c>
      <c r="C8" s="79" t="inlineStr">
        <is>
          <t>05:30 (09:30 allí)</t>
        </is>
      </c>
      <c r="D8" s="78" t="inlineStr">
        <is>
          <t>IA Akranes</t>
        </is>
      </c>
      <c r="E8" s="78" t="inlineStr">
        <is>
          <t>Email 1</t>
        </is>
      </c>
      <c r="F8" s="78" t="inlineStr">
        <is>
          <t>kfia@ia.is</t>
        </is>
      </c>
      <c r="G8" s="78" t="inlineStr">
        <is>
          <t>A question about youth trips to Spain</t>
        </is>
      </c>
      <c r="H8" s="78" t="inlineStr">
        <is>
          <t>Hi ÍA team,
I'm Joel, I run Always Up. We take youth teams to Spain for a week of training at Atlético de Madrid and Real Sociedad facilities, with matches against local academy sides, a stadium tour, and accommodation and meals all sorted.
I saw ÍA Akranes was down for the Costa Daurada Cup this year. Could you point me to the person who looks after trips abroad for your youth teams?
One of our partner clubs in Ireland won their first ever league title after a few years with us, so I'd be glad to share how it went for them.
Thanks a lot,
Joel Martinez
Founder, Always Up
joel.martinez@alwaysup.es | +1 (814) 329 1929 | alwaysup.es</t>
        </is>
      </c>
      <c r="I8" s="78" t="inlineStr">
        <is>
          <t>En Mail: correo nuevo desde joel.martinez@alwaysup.es. Pega Para, Asunto y Texto tal cual (la firma ya va dentro). Sin adjuntos. Flecha junto a Enviar &gt; Enviar más tarde &gt; fecha y la hora de la columna C. Una vez programado, no lo envíes a mano.</t>
        </is>
      </c>
      <c r="J8" s="78" t="n"/>
      <c r="K8" s="78" t="inlineStr">
        <is>
          <t>Rebota: avísame y busco otra dirección. Contesta: para la cadencia y mira 'Respuestas tipo' abajo.</t>
        </is>
      </c>
    </row>
    <row r="9" ht="250.5" customHeight="1" s="52">
      <c r="A9" s="95" t="n">
        <v>46310</v>
      </c>
      <c r="B9" s="78" t="inlineStr">
        <is>
          <t>Jueves</t>
        </is>
      </c>
      <c r="C9" s="79" t="inlineStr">
        <is>
          <t>04:30 (09:30 allí)</t>
        </is>
      </c>
      <c r="D9" s="78" t="inlineStr">
        <is>
          <t>Maidstone United (Girls Development Centre)</t>
        </is>
      </c>
      <c r="E9" s="78" t="inlineStr">
        <is>
          <t>Email 1</t>
        </is>
      </c>
      <c r="F9" s="78" t="inlineStr">
        <is>
          <t>info@maidstoneunited.co.uk</t>
        </is>
      </c>
      <c r="G9" s="78" t="inlineStr">
        <is>
          <t>A question about the Girls Development Centre</t>
        </is>
      </c>
      <c r="H9" s="78" t="inlineStr">
        <is>
          <t>Hi team,
I'm Joel, I run Always Up. We take youth teams to Spain for a week of training at Atlético de Madrid and Real Sociedad facilities, with matches against local academy sides, a stadium tour, and accommodation and meals all sorted.
I saw Maidstone United was down for the Costa Daurada Cup this summer and thought your Girls Development Centre could be a great fit. Could you point me to the right person to talk to about trips for the girls teams?
One of our partner clubs in Ireland won their first ever league title after a few years with us, so I'd be glad to share how it went for them.
Thanks a lot,
Joel Martinez
Founder, Always Up
joel.martinez@alwaysup.es | +1 (814) 329 1929 | alwaysup.es</t>
        </is>
      </c>
      <c r="I9" s="78" t="inlineStr">
        <is>
          <t>En Mail: correo nuevo desde joel.martinez@alwaysup.es. Pega Para, Asunto y Texto tal cual (la firma ya va dentro). Sin adjuntos. Flecha junto a Enviar &gt; Enviar más tarde &gt; fecha y la hora de la columna C. Una vez programado, no lo envíes a mano.</t>
        </is>
      </c>
      <c r="J9" s="78" t="n"/>
      <c r="K9" s="78" t="inlineStr">
        <is>
          <t>Rebota: avísame y busco otra dirección. Contesta: para la cadencia y mira 'Respuestas tipo' abajo.</t>
        </is>
      </c>
    </row>
    <row r="10" ht="265" customHeight="1" s="52">
      <c r="A10" s="95" t="n">
        <v>46310</v>
      </c>
      <c r="B10" s="78" t="inlineStr">
        <is>
          <t>Jueves</t>
        </is>
      </c>
      <c r="C10" s="79" t="inlineStr">
        <is>
          <t>04:30 (09:30 allí)</t>
        </is>
      </c>
      <c r="D10" s="78" t="inlineStr">
        <is>
          <t>Whitehaven AFC (Juniors Girls U13-U15)</t>
        </is>
      </c>
      <c r="E10" s="78" t="inlineStr">
        <is>
          <t>Email 1</t>
        </is>
      </c>
      <c r="F10" s="78" t="inlineStr">
        <is>
          <t>Luke.johnston@whitehavenafc.com</t>
        </is>
      </c>
      <c r="G10" s="78" t="inlineStr">
        <is>
          <t>A week in Spain for Whitehaven's girls teams</t>
        </is>
      </c>
      <c r="H10" s="78" t="inlineStr">
        <is>
          <t>Hi Luke,
I'm Joel, I run Always Up. We take youth teams to Spain for a week of training at Atlético de Madrid and Real Sociedad facilities, with matches against local academy sides, a stadium tour, and accommodation and meals all sorted.
I saw Whitehaven was down for the Costa Daurada Cup this summer, and that the club has girls teams from under 9 up to under 16, so I thought this could be a good fit.
Would you be up for a quick call next week, or would you like a short overview first? And if you're not the right person, could you point me to whoever organises trips for the girls section?
Best,
Joel Martinez
Founder, Always Up
joel.martinez@alwaysup.es | +1 (814) 329 1929 | alwaysup.es</t>
        </is>
      </c>
      <c r="I10" s="78" t="inlineStr">
        <is>
          <t>En Mail: correo nuevo desde joel.martinez@alwaysup.es. Pega Para, Asunto y Texto tal cual (la firma ya va dentro). Sin adjuntos. Flecha junto a Enviar &gt; Enviar más tarde &gt; fecha y la hora de la columna C. Una vez programado, no lo envíes a mano.</t>
        </is>
      </c>
      <c r="J10" s="78" t="n"/>
      <c r="K10" s="78" t="inlineStr">
        <is>
          <t>Rebota: avísame y busco otra dirección. Contesta: para la cadencia y mira 'Respuestas tipo' abajo.</t>
        </is>
      </c>
    </row>
    <row r="11" ht="62" customHeight="1" s="52">
      <c r="A11" s="96" t="n">
        <v>46311</v>
      </c>
      <c r="B11" s="81" t="inlineStr">
        <is>
          <t>Viernes</t>
        </is>
      </c>
      <c r="C11" s="82" t="inlineStr">
        <is>
          <t>Libre</t>
        </is>
      </c>
      <c r="D11" s="81" t="inlineStr">
        <is>
          <t>Holbeach United</t>
        </is>
      </c>
      <c r="E11" s="81" t="inlineStr">
        <is>
          <t>LinkedIn conectar</t>
        </is>
      </c>
      <c r="F11" s="81" t="inlineStr">
        <is>
          <t>Callum Lawe</t>
        </is>
      </c>
      <c r="G11" s="81" t="inlineStr">
        <is>
          <t>(nota de conexión)</t>
        </is>
      </c>
      <c r="H11" s="81" t="inlineStr">
        <is>
          <t>Hi Callum, I'm Joel, I run Always Up. We take youth teams to Spain to train with Atlético de Madrid and Real Sociedad. I emailed you this week and thought I'd connect here too. Joel</t>
        </is>
      </c>
      <c r="I11" s="81" t="inlineStr">
        <is>
          <t>A mano en LinkedIn: perfil de la persona &gt; Conectar &gt; Añadir nota &gt; pegar el texto (máx. 300 caracteres). Si no deja añadir nota, conecta sin nota y manda el texto cuando acepte.</t>
        </is>
      </c>
      <c r="J11" s="81" t="n"/>
      <c r="K11" s="81" t="inlineStr">
        <is>
          <t>Si acepta, no mandes más mensajes hasta que conteste al email.</t>
        </is>
      </c>
    </row>
    <row r="12" ht="62" customHeight="1" s="52">
      <c r="A12" s="96" t="n">
        <v>46311</v>
      </c>
      <c r="B12" s="81" t="inlineStr">
        <is>
          <t>Viernes</t>
        </is>
      </c>
      <c r="C12" s="82" t="inlineStr">
        <is>
          <t>Libre</t>
        </is>
      </c>
      <c r="D12" s="81" t="inlineStr">
        <is>
          <t>Søreide IL</t>
        </is>
      </c>
      <c r="E12" s="81" t="inlineStr">
        <is>
          <t>LinkedIn conectar</t>
        </is>
      </c>
      <c r="F12" s="81" t="inlineStr">
        <is>
          <t>Marius Engen</t>
        </is>
      </c>
      <c r="G12" s="81" t="inlineStr">
        <is>
          <t>(nota de conexión)</t>
        </is>
      </c>
      <c r="H12" s="81" t="inlineStr">
        <is>
          <t>Hi Marius, I'm Joel, I run Always Up. We take youth teams to Spain to train with Atlético de Madrid and Real Sociedad. I emailed you this week and thought I'd connect here too. Joel</t>
        </is>
      </c>
      <c r="I12" s="81" t="inlineStr">
        <is>
          <t>A mano en LinkedIn: perfil de la persona &gt; Conectar &gt; Añadir nota &gt; pegar el texto (máx. 300 caracteres). Si no deja añadir nota, conecta sin nota y manda el texto cuando acepte.</t>
        </is>
      </c>
      <c r="J12" s="81" t="n"/>
      <c r="K12" s="81" t="inlineStr">
        <is>
          <t>Si acepta, no mandes más mensajes hasta que conteste al email.</t>
        </is>
      </c>
    </row>
    <row r="13" ht="62" customHeight="1" s="52">
      <c r="A13" s="96" t="n">
        <v>46314</v>
      </c>
      <c r="B13" s="81" t="inlineStr">
        <is>
          <t>Lunes</t>
        </is>
      </c>
      <c r="C13" s="82" t="inlineStr">
        <is>
          <t>Libre</t>
        </is>
      </c>
      <c r="D13" s="81" t="inlineStr">
        <is>
          <t>Whitehaven AFC (Juniors Girls U13-U15)</t>
        </is>
      </c>
      <c r="E13" s="81" t="inlineStr">
        <is>
          <t>LinkedIn conectar</t>
        </is>
      </c>
      <c r="F13" s="81" t="inlineStr">
        <is>
          <t>Luke Johnston</t>
        </is>
      </c>
      <c r="G13" s="81" t="inlineStr">
        <is>
          <t>(nota de conexión)</t>
        </is>
      </c>
      <c r="H13" s="81" t="inlineStr">
        <is>
          <t>Hi Luke, I'm Joel, I run Always Up. We take youth teams to Spain to train with Atlético de Madrid and Real Sociedad. I emailed you this week and thought I'd connect here too. Joel</t>
        </is>
      </c>
      <c r="I13" s="81" t="inlineStr">
        <is>
          <t>A mano en LinkedIn: perfil de la persona &gt; Conectar &gt; Añadir nota &gt; pegar el texto (máx. 300 caracteres). Si no deja añadir nota, conecta sin nota y manda el texto cuando acepte.</t>
        </is>
      </c>
      <c r="J13" s="81" t="n"/>
      <c r="K13" s="81" t="inlineStr">
        <is>
          <t>Si acepta, no mandes más mensajes hasta que conteste al email.</t>
        </is>
      </c>
    </row>
    <row r="14" ht="279.5" customHeight="1" s="52">
      <c r="A14" s="95" t="n">
        <v>46315</v>
      </c>
      <c r="B14" s="78" t="inlineStr">
        <is>
          <t>Martes</t>
        </is>
      </c>
      <c r="C14" s="79" t="inlineStr">
        <is>
          <t>03:30 (09:30 allí)</t>
        </is>
      </c>
      <c r="D14" s="78" t="inlineStr">
        <is>
          <t>FC Porte d'Aquitaine</t>
        </is>
      </c>
      <c r="E14" s="78" t="inlineStr">
        <is>
          <t>Email 1</t>
        </is>
      </c>
      <c r="F14" s="78" t="inlineStr">
        <is>
          <t>math.bachowski.mb@gmail.com</t>
        </is>
      </c>
      <c r="G14" s="78" t="inlineStr">
        <is>
          <t>Une semaine en Espagne pour les jeunes du FC Porte d'Aquitaine</t>
        </is>
      </c>
      <c r="H14" s="78" t="inlineStr">
        <is>
          <t>Bonjour Mathieu,
Je m'appelle Joel et je dirige Always Up. Nous emmenons des équipes de jeunes en Espagne pour une semaine d'entraînement dans les installations de l'Atlético de Madrid et de la Real Sociedad, avec des matchs contre des équipes de centres de formation locaux, la visite d'un stade, l'hébergement et les repas.
J'ai vu que le FC Porte d'Aquitaine était inscrit à la Costa Daurada Cup cet été, et je me suis dit que cela pourrait intéresser vos U15 ou U17. Un de nos clubs partenaires en Irlande a remporté son premier titre de champion après quelques années avec nous.
Auriez-vous quelques minutes pour un appel la semaine prochaine ? Sinon, je peux d'abord vous envoyer une courte présentation.
Cordialement,
Joel Martinez
Founder, Always Up
joel.martinez@alwaysup.es | +1 (814) 329 1929 | alwaysup.es</t>
        </is>
      </c>
      <c r="I14" s="78" t="inlineStr">
        <is>
          <t>En Mail: correo nuevo desde joel.martinez@alwaysup.es. Pega Para, Asunto y Texto tal cual (la firma ya va dentro). Sin adjuntos. Flecha junto a Enviar &gt; Enviar más tarde &gt; fecha y la hora de la columna C. Una vez programado, no lo envíes a mano.</t>
        </is>
      </c>
      <c r="J14" s="78" t="n"/>
      <c r="K14" s="78" t="inlineStr">
        <is>
          <t>Rebota: avísame y busco otra dirección. Contesta: para la cadencia y mira 'Respuestas tipo' abajo.</t>
        </is>
      </c>
    </row>
    <row r="15" ht="250.5" customHeight="1" s="52">
      <c r="A15" s="97" t="n">
        <v>46315</v>
      </c>
      <c r="B15" s="84" t="inlineStr">
        <is>
          <t>Martes</t>
        </is>
      </c>
      <c r="C15" s="85" t="inlineStr">
        <is>
          <t>04:30 (09:30 allí)</t>
        </is>
      </c>
      <c r="D15" s="84" t="inlineStr">
        <is>
          <t>Hastings United (Girls Academy)</t>
        </is>
      </c>
      <c r="E15" s="84" t="inlineStr">
        <is>
          <t>Follow-up 1</t>
        </is>
      </c>
      <c r="F15" s="84" t="inlineStr">
        <is>
          <t>georgia.townsend@hastingsunited.com</t>
        </is>
      </c>
      <c r="G15" s="84" t="inlineStr">
        <is>
          <t>Re: Bringing Hastings United's Girls Academy to train with LaLiga clubs in Spain</t>
        </is>
      </c>
      <c r="H15" s="84" t="inlineStr">
        <is>
          <t>Hi Georgia,
Just following up on my email from last week in case it got buried.
To give you an idea, a typical week is five days in Madrid. Training sessions, matches against local academy teams, a tour of the Metropolitano and the stadium museum, and accommodation and meals all sorted by us.
If you're thinking about Easter or summer 2027, now is a good time to look at dates.
Happy to jump on a quick call, or send the details by email if that's easier.
Best,
Joel Martinez
Founder, Always Up
joel.martinez@alwaysup.es | +1 (814) 329 1929 | alwaysup.es</t>
        </is>
      </c>
      <c r="I15"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15" s="84" t="n"/>
      <c r="K15" s="84" t="inlineStr">
        <is>
          <t>Si ya contestó por otro canal, no lo envíes.</t>
        </is>
      </c>
    </row>
    <row r="16" ht="250.5" customHeight="1" s="52">
      <c r="A16" s="97" t="n">
        <v>46315</v>
      </c>
      <c r="B16" s="84" t="inlineStr">
        <is>
          <t>Martes</t>
        </is>
      </c>
      <c r="C16" s="85" t="inlineStr">
        <is>
          <t>04:30 (09:30 allí)</t>
        </is>
      </c>
      <c r="D16" s="84" t="inlineStr">
        <is>
          <t>Home Farm FC (chicas U13-U15)</t>
        </is>
      </c>
      <c r="E16" s="84" t="inlineStr">
        <is>
          <t>Follow-up 1</t>
        </is>
      </c>
      <c r="F16" s="84" t="inlineStr">
        <is>
          <t>homefarmfc@gmail.com</t>
        </is>
      </c>
      <c r="G16" s="84" t="inlineStr">
        <is>
          <t>Re: Bringing Home Farm FC to train with Atlético de Madrid &amp; Real Sociedad in Spain</t>
        </is>
      </c>
      <c r="H16" s="84" t="inlineStr">
        <is>
          <t>Hi all,
Just following up on my email from last week in case it got buried.
To give you an idea, a typical week is five days in Madrid. Training sessions, matches against local academy teams, a tour of the Metropolitano and the stadium museum, and accommodation and meals all sorted by us.
If you're thinking about Easter or summer 2027, now is a good time to look at dates.
Happy to jump on a quick call, or send the details by email if that's easier.
Best,
Joel Martinez
Founder, Always Up
joel.martinez@alwaysup.es | +1 (814) 329 1929 | alwaysup.es</t>
        </is>
      </c>
      <c r="I16"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16" s="84" t="n"/>
      <c r="K16" s="84" t="inlineStr">
        <is>
          <t>Si ya contestó por otro canal, no lo envíes.</t>
        </is>
      </c>
    </row>
    <row r="17" ht="236" customHeight="1" s="52">
      <c r="A17" s="95" t="n">
        <v>46315</v>
      </c>
      <c r="B17" s="78" t="inlineStr">
        <is>
          <t>Martes</t>
        </is>
      </c>
      <c r="C17" s="79" t="inlineStr">
        <is>
          <t>04:30 (09:30 allí)</t>
        </is>
      </c>
      <c r="D17" s="78" t="inlineStr">
        <is>
          <t>Virtu Academy</t>
        </is>
      </c>
      <c r="E17" s="78" t="inlineStr">
        <is>
          <t>Email 1</t>
        </is>
      </c>
      <c r="F17" s="78" t="inlineStr">
        <is>
          <t>info@virtuacademy.co.uk</t>
        </is>
      </c>
      <c r="G17" s="78" t="inlineStr">
        <is>
          <t>A question about trips to Spain for Virtu</t>
        </is>
      </c>
      <c r="H17" s="78" t="inlineStr">
        <is>
          <t>Hi team,
I'm Joel, I run Always Up. We take youth teams to Spain for a week of training at Atlético de Madrid and Real Sociedad facilities, with matches against local academy sides, a stadium tour, and accommodation and meals all sorted.
I saw Virtu Academy was down for the Costa Daurada Cup this year. Could you point me to the person who organises trips abroad for your teams?
One of our partner clubs in Ireland won their first ever league title after a few years with us, so I'd be glad to share how it went for them.
Thanks a lot,
Joel Martinez
Founder, Always Up
joel.martinez@alwaysup.es | +1 (814) 329 1929 | alwaysup.es</t>
        </is>
      </c>
      <c r="I17" s="78" t="inlineStr">
        <is>
          <t>En Mail: correo nuevo desde joel.martinez@alwaysup.es. Pega Para, Asunto y Texto tal cual (la firma ya va dentro). Sin adjuntos. Flecha junto a Enviar &gt; Enviar más tarde &gt; fecha y la hora de la columna C. Una vez programado, no lo envíes a mano.</t>
        </is>
      </c>
      <c r="J17" s="78" t="n"/>
      <c r="K17" s="78" t="inlineStr">
        <is>
          <t>Rebota: avísame y busco otra dirección. Contesta: para la cadencia y mira 'Respuestas tipo' abajo.</t>
        </is>
      </c>
    </row>
    <row r="18" ht="250.5" customHeight="1" s="52">
      <c r="A18" s="97" t="n">
        <v>46316</v>
      </c>
      <c r="B18" s="84" t="inlineStr">
        <is>
          <t>Miércoles</t>
        </is>
      </c>
      <c r="C18" s="85" t="inlineStr">
        <is>
          <t>04:30 (09:30 allí)</t>
        </is>
      </c>
      <c r="D18" s="84" t="inlineStr">
        <is>
          <t>Holbeach United</t>
        </is>
      </c>
      <c r="E18" s="84" t="inlineStr">
        <is>
          <t>Follow-up 1</t>
        </is>
      </c>
      <c r="F18" s="84" t="inlineStr">
        <is>
          <t>callum@holbeachunitedacademy.com</t>
        </is>
      </c>
      <c r="G18" s="84" t="inlineStr">
        <is>
          <t>Re: A week in Spain for Holbeach's academy squads</t>
        </is>
      </c>
      <c r="H18" s="84" t="inlineStr">
        <is>
          <t>Hi Callum,
Just following up on my email from last week in case it got buried.
To give you an idea, a typical week is five days in Madrid. Training sessions, matches against local academy teams, a tour of the Metropolitano and the stadium museum, and accommodation and meals all sorted by us.
If you're thinking about Easter or summer 2027, now is a good time to look at dates.
Happy to jump on a quick call, or send the details by email if that's easier.
Best,
Joel Martinez
Founder, Always Up
joel.martinez@alwaysup.es | +1 (814) 329 1929 | alwaysup.es</t>
        </is>
      </c>
      <c r="I18"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18" s="84" t="n"/>
      <c r="K18" s="84" t="inlineStr">
        <is>
          <t>Si ya contestó por otro canal, no lo envíes.</t>
        </is>
      </c>
    </row>
    <row r="19" ht="250.5" customHeight="1" s="52">
      <c r="A19" s="97" t="n">
        <v>46316</v>
      </c>
      <c r="B19" s="84" t="inlineStr">
        <is>
          <t>Miércoles</t>
        </is>
      </c>
      <c r="C19" s="85" t="inlineStr">
        <is>
          <t>03:30 (09:30 allí)</t>
        </is>
      </c>
      <c r="D19" s="84" t="inlineStr">
        <is>
          <t>Søreide IL</t>
        </is>
      </c>
      <c r="E19" s="84" t="inlineStr">
        <is>
          <t>Follow-up 1</t>
        </is>
      </c>
      <c r="F19" s="84" t="inlineStr">
        <is>
          <t>fotball@soreideil.no</t>
        </is>
      </c>
      <c r="G19" s="84" t="inlineStr">
        <is>
          <t>Re: A week in Spain for Søreide's youth teams</t>
        </is>
      </c>
      <c r="H19" s="84" t="inlineStr">
        <is>
          <t>Hi Marius and Gunn,
Just following up on my email from last week in case it got buried.
To give you an idea, a typical week is five days in Madrid. Training sessions, matches against local academy teams, a tour of the Metropolitano and the stadium museum, and accommodation and meals all sorted by us.
If you're thinking about Easter or summer 2027, now is a good time to look at dates.
Happy to jump on a quick call, or send the details by email if that's easier.
Best,
Joel Martinez
Founder, Always Up
joel.martinez@alwaysup.es | +1 (814) 329 1929 | alwaysup.es</t>
        </is>
      </c>
      <c r="I19"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19" s="84" t="n"/>
      <c r="K19" s="84" t="inlineStr">
        <is>
          <t>Si ya contestó por otro canal, no lo envíes.</t>
        </is>
      </c>
    </row>
    <row r="20" ht="221.5" customHeight="1" s="52">
      <c r="A20" s="97" t="n">
        <v>46317</v>
      </c>
      <c r="B20" s="84" t="inlineStr">
        <is>
          <t>Jueves</t>
        </is>
      </c>
      <c r="C20" s="85" t="inlineStr">
        <is>
          <t>05:30 (09:30 allí)</t>
        </is>
      </c>
      <c r="D20" s="84" t="inlineStr">
        <is>
          <t>IA Akranes</t>
        </is>
      </c>
      <c r="E20" s="84" t="inlineStr">
        <is>
          <t>Follow-up 1</t>
        </is>
      </c>
      <c r="F20" s="84" t="inlineStr">
        <is>
          <t>kfia@ia.is</t>
        </is>
      </c>
      <c r="G20" s="84" t="inlineStr">
        <is>
          <t>Re: A question about youth trips to Spain</t>
        </is>
      </c>
      <c r="H20" s="84" t="inlineStr">
        <is>
          <t>Hi ÍA team,
Just following up on my email from last week in case it got buried.
I'm trying to reach whoever organises trips for the youth teams. If that's not you, a name or a quick forward would be really appreciated.
In short, it's five days in Madrid with training sessions, matches against local academy teams, a tour of the Metropolitano, and accommodation and meals all sorted by us.
Thanks a lot,
Joel Martinez
Founder, Always Up
joel.martinez@alwaysup.es | +1 (814) 329 1929 | alwaysup.es</t>
        </is>
      </c>
      <c r="I20"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0" s="84" t="n"/>
      <c r="K20" s="84" t="inlineStr">
        <is>
          <t>Si ya contestó por otro canal, no lo envíes.</t>
        </is>
      </c>
    </row>
    <row r="21" ht="221.5" customHeight="1" s="52">
      <c r="A21" s="97" t="n">
        <v>46317</v>
      </c>
      <c r="B21" s="84" t="inlineStr">
        <is>
          <t>Jueves</t>
        </is>
      </c>
      <c r="C21" s="85" t="inlineStr">
        <is>
          <t>04:30 (09:30 allí)</t>
        </is>
      </c>
      <c r="D21" s="84" t="inlineStr">
        <is>
          <t>Maidstone United (Girls Development Centre)</t>
        </is>
      </c>
      <c r="E21" s="84" t="inlineStr">
        <is>
          <t>Follow-up 1</t>
        </is>
      </c>
      <c r="F21" s="84" t="inlineStr">
        <is>
          <t>info@maidstoneunited.co.uk</t>
        </is>
      </c>
      <c r="G21" s="84" t="inlineStr">
        <is>
          <t>Re: A question about the Girls Development Centre</t>
        </is>
      </c>
      <c r="H21" s="84" t="inlineStr">
        <is>
          <t>Hi team,
Just following up on my email from last week in case it got buried.
I'm trying to reach whoever organises trips for the youth teams. If that's not you, a name or a quick forward would be really appreciated.
In short, it's five days in Madrid with training sessions, matches against local academy teams, a tour of the Metropolitano, and accommodation and meals all sorted by us.
Thanks a lot,
Joel Martinez
Founder, Always Up
joel.martinez@alwaysup.es | +1 (814) 329 1929 | alwaysup.es</t>
        </is>
      </c>
      <c r="I21"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1" s="84" t="n"/>
      <c r="K21" s="84" t="inlineStr">
        <is>
          <t>Si ya contestó por otro canal, no lo envíes.</t>
        </is>
      </c>
    </row>
    <row r="22" ht="250.5" customHeight="1" s="52">
      <c r="A22" s="97" t="n">
        <v>46317</v>
      </c>
      <c r="B22" s="84" t="inlineStr">
        <is>
          <t>Jueves</t>
        </is>
      </c>
      <c r="C22" s="85" t="inlineStr">
        <is>
          <t>04:30 (09:30 allí)</t>
        </is>
      </c>
      <c r="D22" s="84" t="inlineStr">
        <is>
          <t>Whitehaven AFC (Juniors Girls U13-U15)</t>
        </is>
      </c>
      <c r="E22" s="84" t="inlineStr">
        <is>
          <t>Follow-up 1</t>
        </is>
      </c>
      <c r="F22" s="84" t="inlineStr">
        <is>
          <t>Luke.johnston@whitehavenafc.com</t>
        </is>
      </c>
      <c r="G22" s="84" t="inlineStr">
        <is>
          <t>Re: A week in Spain for Whitehaven's girls teams</t>
        </is>
      </c>
      <c r="H22" s="84" t="inlineStr">
        <is>
          <t>Hi Luke,
Just following up on my email from last week in case it got buried.
To give you an idea, a typical week is five days in Madrid. Training sessions, matches against local academy teams, a tour of the Metropolitano and the stadium museum, and accommodation and meals all sorted by us.
If you're thinking about Easter or summer 2027, now is a good time to look at dates.
Happy to jump on a quick call, or send the details by email if that's easier.
Best,
Joel Martinez
Founder, Always Up
joel.martinez@alwaysup.es | +1 (814) 329 1929 | alwaysup.es</t>
        </is>
      </c>
      <c r="I22"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2" s="84" t="n"/>
      <c r="K22" s="84" t="inlineStr">
        <is>
          <t>Si ya contestó por otro canal, no lo envíes.</t>
        </is>
      </c>
    </row>
    <row r="23" ht="279.5" customHeight="1" s="52">
      <c r="A23" s="97" t="n">
        <v>46322</v>
      </c>
      <c r="B23" s="84" t="inlineStr">
        <is>
          <t>Martes</t>
        </is>
      </c>
      <c r="C23" s="85" t="inlineStr">
        <is>
          <t>04:30 (09:30 allí)</t>
        </is>
      </c>
      <c r="D23" s="84" t="inlineStr">
        <is>
          <t>FC Porte d'Aquitaine</t>
        </is>
      </c>
      <c r="E23" s="84" t="inlineStr">
        <is>
          <t>Follow-up 1</t>
        </is>
      </c>
      <c r="F23" s="84" t="inlineStr">
        <is>
          <t>math.bachowski.mb@gmail.com</t>
        </is>
      </c>
      <c r="G23" s="84" t="inlineStr">
        <is>
          <t>Re: Une semaine en Espagne pour les jeunes du FC Porte d'Aquitaine</t>
        </is>
      </c>
      <c r="H23" s="84" t="inlineStr">
        <is>
          <t>Bonjour Mathieu,
Je me permets de revenir vers vous au cas où mon message de la semaine dernière se serait perdu.
Pour vous donner une idée, une semaine type dure cinq jours à Madrid : séances d'entraînement, matchs contre des équipes de centres de formation locaux, visite du Metropolitano et de son musée, hébergement et repas pris en charge par nos soins.
Si vous pensez à Pâques ou à l'été 2027, c'est le bon moment pour regarder les dates.
Je suis disponible pour un court appel, ou je peux vous envoyer les détails par email si c'est plus simple.
Cordialement,
Joel Martinez
Founder, Always Up
joel.martinez@alwaysup.es | +1 (814) 329 1929 | alwaysup.es</t>
        </is>
      </c>
      <c r="I23"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3" s="84" t="n"/>
      <c r="K23" s="84" t="inlineStr">
        <is>
          <t>Si ya contestó por otro canal, no lo envíes.</t>
        </is>
      </c>
    </row>
    <row r="24" ht="178" customHeight="1" s="52">
      <c r="A24" s="98" t="n">
        <v>46322</v>
      </c>
      <c r="B24" s="87" t="inlineStr">
        <is>
          <t>Martes</t>
        </is>
      </c>
      <c r="C24" s="88" t="inlineStr">
        <is>
          <t>05:30 (09:30 allí)</t>
        </is>
      </c>
      <c r="D24" s="87" t="inlineStr">
        <is>
          <t>Hastings United (Girls Academy)</t>
        </is>
      </c>
      <c r="E24" s="87" t="inlineStr">
        <is>
          <t>Follow-up 2</t>
        </is>
      </c>
      <c r="F24" s="87" t="inlineStr">
        <is>
          <t>georgia.townsend@hastingsunited.com</t>
        </is>
      </c>
      <c r="G24" s="87" t="inlineStr">
        <is>
          <t>Re: Bringing Hastings United's Girls Academy to train with LaLiga clubs in Spain</t>
        </is>
      </c>
      <c r="H24" s="87" t="inlineStr">
        <is>
          <t>Hi Georgia,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24"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4" s="87" t="n"/>
      <c r="K24" s="87" t="inlineStr">
        <is>
          <t>Si contestó, no lo envíes.</t>
        </is>
      </c>
    </row>
    <row r="25" ht="178" customHeight="1" s="52">
      <c r="A25" s="98" t="n">
        <v>46322</v>
      </c>
      <c r="B25" s="87" t="inlineStr">
        <is>
          <t>Martes</t>
        </is>
      </c>
      <c r="C25" s="88" t="inlineStr">
        <is>
          <t>05:30 (09:30 allí)</t>
        </is>
      </c>
      <c r="D25" s="87" t="inlineStr">
        <is>
          <t>Home Farm FC (chicas U13-U15)</t>
        </is>
      </c>
      <c r="E25" s="87" t="inlineStr">
        <is>
          <t>Follow-up 2</t>
        </is>
      </c>
      <c r="F25" s="87" t="inlineStr">
        <is>
          <t>homefarmfc@gmail.com</t>
        </is>
      </c>
      <c r="G25" s="87" t="inlineStr">
        <is>
          <t>Re: Bringing Home Farm FC to train with Atlético de Madrid &amp; Real Sociedad in Spain</t>
        </is>
      </c>
      <c r="H25" s="87" t="inlineStr">
        <is>
          <t>Hi all,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25"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5" s="87" t="n"/>
      <c r="K25" s="87" t="inlineStr">
        <is>
          <t>Si contestó, no lo envíes.</t>
        </is>
      </c>
    </row>
    <row r="26" ht="221.5" customHeight="1" s="52">
      <c r="A26" s="97" t="n">
        <v>46322</v>
      </c>
      <c r="B26" s="84" t="inlineStr">
        <is>
          <t>Martes</t>
        </is>
      </c>
      <c r="C26" s="85" t="inlineStr">
        <is>
          <t>05:30 (09:30 allí)</t>
        </is>
      </c>
      <c r="D26" s="84" t="inlineStr">
        <is>
          <t>Virtu Academy</t>
        </is>
      </c>
      <c r="E26" s="84" t="inlineStr">
        <is>
          <t>Follow-up 1</t>
        </is>
      </c>
      <c r="F26" s="84" t="inlineStr">
        <is>
          <t>info@virtuacademy.co.uk</t>
        </is>
      </c>
      <c r="G26" s="84" t="inlineStr">
        <is>
          <t>Re: A question about trips to Spain for Virtu</t>
        </is>
      </c>
      <c r="H26" s="84" t="inlineStr">
        <is>
          <t>Hi team,
Just following up on my email from last week in case it got buried.
I'm trying to reach whoever organises trips for the youth teams. If that's not you, a name or a quick forward would be really appreciated.
In short, it's five days in Madrid with training sessions, matches against local academy teams, a tour of the Metropolitano, and accommodation and meals all sorted by us.
Thanks a lot,
Joel Martinez
Founder, Always Up
joel.martinez@alwaysup.es | +1 (814) 329 1929 | alwaysup.es</t>
        </is>
      </c>
      <c r="I26" s="84"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6" s="84" t="n"/>
      <c r="K26" s="84" t="inlineStr">
        <is>
          <t>Si ya contestó por otro canal, no lo envíes.</t>
        </is>
      </c>
    </row>
    <row r="27" ht="60" customHeight="1" s="52">
      <c r="A27" s="96" t="n">
        <v>46323</v>
      </c>
      <c r="B27" s="81" t="inlineStr">
        <is>
          <t>Miércoles</t>
        </is>
      </c>
      <c r="C27" s="82" t="inlineStr">
        <is>
          <t>Libre</t>
        </is>
      </c>
      <c r="D27" s="81" t="inlineStr">
        <is>
          <t>Hastings United (Girls Academy)</t>
        </is>
      </c>
      <c r="E27" s="81" t="inlineStr">
        <is>
          <t>DM en redes</t>
        </is>
      </c>
      <c r="F27" s="81" t="inlineStr">
        <is>
          <t>Instagram de Hastings United</t>
        </is>
      </c>
      <c r="G27" s="81" t="inlineStr">
        <is>
          <t>(mensaje directo)</t>
        </is>
      </c>
      <c r="H27" s="81" t="inlineStr">
        <is>
          <t>Hi! I'm Joel from Always Up. We take youth teams to Spain for training weeks (Atlético de Madrid, Real Sociedad). I emailed the club recently. Who would be the best person to speak to about trips for your youth teams?</t>
        </is>
      </c>
      <c r="I27" s="81" t="inlineStr">
        <is>
          <t>A mano desde la cuenta de la red indicada. Solo si no ha contestado al follow-up 2. Sin enlaces.</t>
        </is>
      </c>
      <c r="J27" s="81" t="n"/>
      <c r="K27" s="81" t="inlineStr">
        <is>
          <t>Solo si no hay respuesta a nada.</t>
        </is>
      </c>
    </row>
    <row r="28" ht="178" customHeight="1" s="52">
      <c r="A28" s="98" t="n">
        <v>46323</v>
      </c>
      <c r="B28" s="87" t="inlineStr">
        <is>
          <t>Miércoles</t>
        </is>
      </c>
      <c r="C28" s="88" t="inlineStr">
        <is>
          <t>05:30 (09:30 allí)</t>
        </is>
      </c>
      <c r="D28" s="87" t="inlineStr">
        <is>
          <t>Holbeach United</t>
        </is>
      </c>
      <c r="E28" s="87" t="inlineStr">
        <is>
          <t>Follow-up 2</t>
        </is>
      </c>
      <c r="F28" s="87" t="inlineStr">
        <is>
          <t>callum@holbeachunitedacademy.com</t>
        </is>
      </c>
      <c r="G28" s="87" t="inlineStr">
        <is>
          <t>Re: A week in Spain for Holbeach's academy squads</t>
        </is>
      </c>
      <c r="H28" s="87" t="inlineStr">
        <is>
          <t>Hi Callum,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28"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28" s="87" t="n"/>
      <c r="K28" s="87" t="inlineStr">
        <is>
          <t>Si contestó, no lo envíes.</t>
        </is>
      </c>
    </row>
    <row r="29" ht="60" customHeight="1" s="52">
      <c r="A29" s="96" t="n">
        <v>46323</v>
      </c>
      <c r="B29" s="81" t="inlineStr">
        <is>
          <t>Miércoles</t>
        </is>
      </c>
      <c r="C29" s="82" t="inlineStr">
        <is>
          <t>Libre</t>
        </is>
      </c>
      <c r="D29" s="81" t="inlineStr">
        <is>
          <t>Home Farm FC (chicas U13-U15)</t>
        </is>
      </c>
      <c r="E29" s="81" t="inlineStr">
        <is>
          <t>DM en redes</t>
        </is>
      </c>
      <c r="F29" s="81" t="inlineStr">
        <is>
          <t>Facebook o Instagram de Home Farm FC</t>
        </is>
      </c>
      <c r="G29" s="81" t="inlineStr">
        <is>
          <t>(mensaje directo)</t>
        </is>
      </c>
      <c r="H29" s="81" t="inlineStr">
        <is>
          <t>Hi! I'm Joel from Always Up. We take youth teams to Spain for training weeks (Atlético de Madrid, Real Sociedad). I emailed the club recently. Who would be the best person to speak to about trips for your youth teams?</t>
        </is>
      </c>
      <c r="I29" s="81" t="inlineStr">
        <is>
          <t>A mano desde la cuenta de la red indicada. Solo si no ha contestado al follow-up 2. Sin enlaces.</t>
        </is>
      </c>
      <c r="J29" s="81" t="n"/>
      <c r="K29" s="81" t="inlineStr">
        <is>
          <t>Solo si no hay respuesta a nada.</t>
        </is>
      </c>
    </row>
    <row r="30" ht="178" customHeight="1" s="52">
      <c r="A30" s="98" t="n">
        <v>46323</v>
      </c>
      <c r="B30" s="87" t="inlineStr">
        <is>
          <t>Miércoles</t>
        </is>
      </c>
      <c r="C30" s="88" t="inlineStr">
        <is>
          <t>04:30 (09:30 allí)</t>
        </is>
      </c>
      <c r="D30" s="87" t="inlineStr">
        <is>
          <t>Søreide IL</t>
        </is>
      </c>
      <c r="E30" s="87" t="inlineStr">
        <is>
          <t>Follow-up 2</t>
        </is>
      </c>
      <c r="F30" s="87" t="inlineStr">
        <is>
          <t>fotball@soreideil.no</t>
        </is>
      </c>
      <c r="G30" s="87" t="inlineStr">
        <is>
          <t>Re: A week in Spain for Søreide's youth teams</t>
        </is>
      </c>
      <c r="H30" s="87" t="inlineStr">
        <is>
          <t>Hi Marius and Gunn,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30"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30" s="87" t="n"/>
      <c r="K30" s="87" t="inlineStr">
        <is>
          <t>Si contestó, no lo envíes.</t>
        </is>
      </c>
    </row>
    <row r="31" ht="60" customHeight="1" s="52">
      <c r="A31" s="96" t="n">
        <v>46324</v>
      </c>
      <c r="B31" s="81" t="inlineStr">
        <is>
          <t>Jueves</t>
        </is>
      </c>
      <c r="C31" s="82" t="inlineStr">
        <is>
          <t>Libre</t>
        </is>
      </c>
      <c r="D31" s="81" t="inlineStr">
        <is>
          <t>Holbeach United</t>
        </is>
      </c>
      <c r="E31" s="81" t="inlineStr">
        <is>
          <t>DM en redes</t>
        </is>
      </c>
      <c r="F31" s="81" t="inlineStr">
        <is>
          <t>Instagram @holbeachunitedcsa</t>
        </is>
      </c>
      <c r="G31" s="81" t="inlineStr">
        <is>
          <t>(mensaje directo)</t>
        </is>
      </c>
      <c r="H31" s="81" t="inlineStr">
        <is>
          <t>Hi! I'm Joel from Always Up. We take youth teams to Spain for training weeks (Atlético de Madrid, Real Sociedad). I emailed the club recently. Who would be the best person to speak to about trips for your youth teams?</t>
        </is>
      </c>
      <c r="I31" s="81" t="inlineStr">
        <is>
          <t>A mano desde la cuenta de la red indicada. Solo si no ha contestado al follow-up 2. Sin enlaces.</t>
        </is>
      </c>
      <c r="J31" s="81" t="n"/>
      <c r="K31" s="81" t="inlineStr">
        <is>
          <t>Solo si no hay respuesta a nada.</t>
        </is>
      </c>
    </row>
    <row r="32" ht="178" customHeight="1" s="52">
      <c r="A32" s="98" t="n">
        <v>46324</v>
      </c>
      <c r="B32" s="87" t="inlineStr">
        <is>
          <t>Jueves</t>
        </is>
      </c>
      <c r="C32" s="88" t="inlineStr">
        <is>
          <t>05:30 (09:30 allí)</t>
        </is>
      </c>
      <c r="D32" s="87" t="inlineStr">
        <is>
          <t>IA Akranes</t>
        </is>
      </c>
      <c r="E32" s="87" t="inlineStr">
        <is>
          <t>Follow-up 2</t>
        </is>
      </c>
      <c r="F32" s="87" t="inlineStr">
        <is>
          <t>kfia@ia.is</t>
        </is>
      </c>
      <c r="G32" s="87" t="inlineStr">
        <is>
          <t>Re: A question about youth trips to Spain</t>
        </is>
      </c>
      <c r="H32" s="87" t="inlineStr">
        <is>
          <t>Hi ÍA team,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32"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32" s="87" t="n"/>
      <c r="K32" s="87" t="inlineStr">
        <is>
          <t>Si contestó, no lo envíes.</t>
        </is>
      </c>
    </row>
    <row r="33" ht="178" customHeight="1" s="52">
      <c r="A33" s="98" t="n">
        <v>46324</v>
      </c>
      <c r="B33" s="87" t="inlineStr">
        <is>
          <t>Jueves</t>
        </is>
      </c>
      <c r="C33" s="88" t="inlineStr">
        <is>
          <t>05:30 (09:30 allí)</t>
        </is>
      </c>
      <c r="D33" s="87" t="inlineStr">
        <is>
          <t>Maidstone United (Girls Development Centre)</t>
        </is>
      </c>
      <c r="E33" s="87" t="inlineStr">
        <is>
          <t>Follow-up 2</t>
        </is>
      </c>
      <c r="F33" s="87" t="inlineStr">
        <is>
          <t>info@maidstoneunited.co.uk</t>
        </is>
      </c>
      <c r="G33" s="87" t="inlineStr">
        <is>
          <t>Re: A question about the Girls Development Centre</t>
        </is>
      </c>
      <c r="H33" s="87" t="inlineStr">
        <is>
          <t>Hi team,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33"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33" s="87" t="n"/>
      <c r="K33" s="87" t="inlineStr">
        <is>
          <t>Si contestó, no lo envíes.</t>
        </is>
      </c>
    </row>
    <row r="34" ht="60" customHeight="1" s="52">
      <c r="A34" s="96" t="n">
        <v>46324</v>
      </c>
      <c r="B34" s="81" t="inlineStr">
        <is>
          <t>Jueves</t>
        </is>
      </c>
      <c r="C34" s="82" t="inlineStr">
        <is>
          <t>Libre</t>
        </is>
      </c>
      <c r="D34" s="81" t="inlineStr">
        <is>
          <t>Søreide IL</t>
        </is>
      </c>
      <c r="E34" s="81" t="inlineStr">
        <is>
          <t>DM en redes</t>
        </is>
      </c>
      <c r="F34" s="81" t="inlineStr">
        <is>
          <t>Facebook o Instagram de Søreide IL</t>
        </is>
      </c>
      <c r="G34" s="81" t="inlineStr">
        <is>
          <t>(mensaje directo)</t>
        </is>
      </c>
      <c r="H34" s="81" t="inlineStr">
        <is>
          <t>Hi! I'm Joel from Always Up. We take youth teams to Spain for training weeks (Atlético de Madrid, Real Sociedad). I emailed the club recently. Who would be the best person to speak to about trips for your youth teams?</t>
        </is>
      </c>
      <c r="I34" s="81" t="inlineStr">
        <is>
          <t>A mano desde la cuenta de la red indicada. Solo si no ha contestado al follow-up 2. Sin enlaces.</t>
        </is>
      </c>
      <c r="J34" s="81" t="n"/>
      <c r="K34" s="81" t="inlineStr">
        <is>
          <t>Solo si no hay respuesta a nada.</t>
        </is>
      </c>
    </row>
    <row r="35" ht="178" customHeight="1" s="52">
      <c r="A35" s="98" t="n">
        <v>46324</v>
      </c>
      <c r="B35" s="87" t="inlineStr">
        <is>
          <t>Jueves</t>
        </is>
      </c>
      <c r="C35" s="88" t="inlineStr">
        <is>
          <t>05:30 (09:30 allí)</t>
        </is>
      </c>
      <c r="D35" s="87" t="inlineStr">
        <is>
          <t>Whitehaven AFC (Juniors Girls U13-U15)</t>
        </is>
      </c>
      <c r="E35" s="87" t="inlineStr">
        <is>
          <t>Follow-up 2</t>
        </is>
      </c>
      <c r="F35" s="87" t="inlineStr">
        <is>
          <t>Luke.johnston@whitehavenafc.com</t>
        </is>
      </c>
      <c r="G35" s="87" t="inlineStr">
        <is>
          <t>Re: A week in Spain for Whitehaven's girls teams</t>
        </is>
      </c>
      <c r="H35" s="87" t="inlineStr">
        <is>
          <t>Hi Luke,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35"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35" s="87" t="n"/>
      <c r="K35" s="87" t="inlineStr">
        <is>
          <t>Si contestó, no lo envíes.</t>
        </is>
      </c>
    </row>
    <row r="36" ht="60" customHeight="1" s="52">
      <c r="A36" s="96" t="n">
        <v>46325</v>
      </c>
      <c r="B36" s="81" t="inlineStr">
        <is>
          <t>Viernes</t>
        </is>
      </c>
      <c r="C36" s="82" t="inlineStr">
        <is>
          <t>Libre</t>
        </is>
      </c>
      <c r="D36" s="81" t="inlineStr">
        <is>
          <t>IA Akranes</t>
        </is>
      </c>
      <c r="E36" s="81" t="inlineStr">
        <is>
          <t>DM en redes</t>
        </is>
      </c>
      <c r="F36" s="81" t="inlineStr">
        <is>
          <t>Facebook o Instagram de ÍA Akranes</t>
        </is>
      </c>
      <c r="G36" s="81" t="inlineStr">
        <is>
          <t>(mensaje directo)</t>
        </is>
      </c>
      <c r="H36" s="81" t="inlineStr">
        <is>
          <t>Hi! I'm Joel from Always Up. We take youth teams to Spain for training weeks (Atlético de Madrid, Real Sociedad). I emailed the club recently. Who would be the best person to speak to about trips for your youth teams?</t>
        </is>
      </c>
      <c r="I36" s="81" t="inlineStr">
        <is>
          <t>A mano desde la cuenta de la red indicada. Solo si no ha contestado al follow-up 2. Sin enlaces.</t>
        </is>
      </c>
      <c r="J36" s="81" t="n"/>
      <c r="K36" s="81" t="inlineStr">
        <is>
          <t>Solo si no hay respuesta a nada.</t>
        </is>
      </c>
    </row>
    <row r="37" ht="60" customHeight="1" s="52">
      <c r="A37" s="96" t="n">
        <v>46325</v>
      </c>
      <c r="B37" s="81" t="inlineStr">
        <is>
          <t>Viernes</t>
        </is>
      </c>
      <c r="C37" s="82" t="inlineStr">
        <is>
          <t>Libre</t>
        </is>
      </c>
      <c r="D37" s="81" t="inlineStr">
        <is>
          <t>Maidstone United (Girls Development Centre)</t>
        </is>
      </c>
      <c r="E37" s="81" t="inlineStr">
        <is>
          <t>DM en redes</t>
        </is>
      </c>
      <c r="F37" s="81" t="inlineStr">
        <is>
          <t>Facebook o Instagram de Maidstone United</t>
        </is>
      </c>
      <c r="G37" s="81" t="inlineStr">
        <is>
          <t>(mensaje directo)</t>
        </is>
      </c>
      <c r="H37" s="81" t="inlineStr">
        <is>
          <t>Hi! I'm Joel from Always Up. We take youth teams to Spain for training weeks (Atlético de Madrid, Real Sociedad). I emailed the club recently. Who would be the best person to speak to about trips for your youth teams?</t>
        </is>
      </c>
      <c r="I37" s="81" t="inlineStr">
        <is>
          <t>A mano desde la cuenta de la red indicada. Solo si no ha contestado al follow-up 2. Sin enlaces.</t>
        </is>
      </c>
      <c r="J37" s="81" t="n"/>
      <c r="K37" s="81" t="inlineStr">
        <is>
          <t>Solo si no hay respuesta a nada.</t>
        </is>
      </c>
    </row>
    <row r="38" ht="60" customHeight="1" s="52">
      <c r="A38" s="96" t="n">
        <v>46325</v>
      </c>
      <c r="B38" s="81" t="inlineStr">
        <is>
          <t>Viernes</t>
        </is>
      </c>
      <c r="C38" s="82" t="inlineStr">
        <is>
          <t>Libre</t>
        </is>
      </c>
      <c r="D38" s="81" t="inlineStr">
        <is>
          <t>Whitehaven AFC (Juniors Girls U13-U15)</t>
        </is>
      </c>
      <c r="E38" s="81" t="inlineStr">
        <is>
          <t>DM en redes</t>
        </is>
      </c>
      <c r="F38" s="81" t="inlineStr">
        <is>
          <t>Facebook de Whitehaven AFC (plan B si el email rebota)</t>
        </is>
      </c>
      <c r="G38" s="81" t="inlineStr">
        <is>
          <t>(mensaje directo)</t>
        </is>
      </c>
      <c r="H38" s="81" t="inlineStr">
        <is>
          <t>Hi! I'm Joel from Always Up. We take youth teams to Spain for training weeks (Atlético de Madrid, Real Sociedad). I emailed the club recently. Who would be the best person to speak to about trips for your youth teams?</t>
        </is>
      </c>
      <c r="I38" s="81" t="inlineStr">
        <is>
          <t>A mano desde la cuenta de la red indicada. Solo si no ha contestado al follow-up 2. Sin enlaces.</t>
        </is>
      </c>
      <c r="J38" s="81" t="n"/>
      <c r="K38" s="81" t="inlineStr">
        <is>
          <t>Solo si no hay respuesta a nada.</t>
        </is>
      </c>
    </row>
    <row r="39" ht="207" customHeight="1" s="52">
      <c r="A39" s="98" t="n">
        <v>46329</v>
      </c>
      <c r="B39" s="87" t="inlineStr">
        <is>
          <t>Martes</t>
        </is>
      </c>
      <c r="C39" s="88" t="inlineStr">
        <is>
          <t>03:30 (09:30 allí)</t>
        </is>
      </c>
      <c r="D39" s="87" t="inlineStr">
        <is>
          <t>FC Porte d'Aquitaine</t>
        </is>
      </c>
      <c r="E39" s="87" t="inlineStr">
        <is>
          <t>Follow-up 2</t>
        </is>
      </c>
      <c r="F39" s="87" t="inlineStr">
        <is>
          <t>math.bachowski.mb@gmail.com</t>
        </is>
      </c>
      <c r="G39" s="87" t="inlineStr">
        <is>
          <t>Re: Une semaine en Espagne pour les jeunes du FC Porte d'Aquitaine</t>
        </is>
      </c>
      <c r="H39" s="87" t="inlineStr">
        <is>
          <t>Bonjour Mathieu,
Je serai bref. Beaucoup de clubs ne savent pas au début si un voyage comme celui-ci est réaliste pour leurs familles et leur calendrier, et c'est tout à fait normal.
Un appel de 15 minutes suffit généralement pour voir si cela a du sens, sans engagement. Et si ce n'est pas le bon moment, dites-le-moi et je reviendrai vers vous en début d'année.
Cordialement,
Joel Martinez
Founder, Always Up
joel.martinez@alwaysup.es | +1 (814) 329 1929 | alwaysup.es</t>
        </is>
      </c>
      <c r="I39"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39" s="87" t="n"/>
      <c r="K39" s="87" t="inlineStr">
        <is>
          <t>Si contestó, no lo envíes.</t>
        </is>
      </c>
    </row>
    <row r="40" ht="192.5" customHeight="1" s="52">
      <c r="A40" s="99" t="n">
        <v>46329</v>
      </c>
      <c r="B40" s="90" t="inlineStr">
        <is>
          <t>Martes</t>
        </is>
      </c>
      <c r="C40" s="91" t="inlineStr">
        <is>
          <t>04:30 (09:30 allí)</t>
        </is>
      </c>
      <c r="D40" s="90" t="inlineStr">
        <is>
          <t>Hastings United (Girls Academy)</t>
        </is>
      </c>
      <c r="E40" s="90" t="inlineStr">
        <is>
          <t>Cierre</t>
        </is>
      </c>
      <c r="F40" s="90" t="inlineStr">
        <is>
          <t>georgia.townsend@hastingsunited.com</t>
        </is>
      </c>
      <c r="G40" s="90" t="inlineStr">
        <is>
          <t>Re: Bringing Hastings United's Girls Academy to train with LaLiga clubs in Spain</t>
        </is>
      </c>
      <c r="H40" s="90" t="inlineStr">
        <is>
          <t>Hi Georgia,
I haven't heard back, so I'll assume the timing isn't right and I won't keep emailing.
If anything changes, or you'd like the details for later, just reply here.
Wishing Hastings United a great season.
Best,
Joel Martinez
Founder, Always Up
joel.martinez@alwaysup.es | +1 (814) 329 1929 | alwaysup.es</t>
        </is>
      </c>
      <c r="I40"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0" s="90" t="n"/>
      <c r="K40" s="90" t="inlineStr">
        <is>
          <t>Tras este correo, pasa el club a 'Retomar en enero 2027' en el CRM.</t>
        </is>
      </c>
    </row>
    <row r="41" ht="192.5" customHeight="1" s="52">
      <c r="A41" s="99" t="n">
        <v>46329</v>
      </c>
      <c r="B41" s="90" t="inlineStr">
        <is>
          <t>Martes</t>
        </is>
      </c>
      <c r="C41" s="91" t="inlineStr">
        <is>
          <t>04:30 (09:30 allí)</t>
        </is>
      </c>
      <c r="D41" s="90" t="inlineStr">
        <is>
          <t>Home Farm FC (chicas U13-U15)</t>
        </is>
      </c>
      <c r="E41" s="90" t="inlineStr">
        <is>
          <t>Cierre</t>
        </is>
      </c>
      <c r="F41" s="90" t="inlineStr">
        <is>
          <t>homefarmfc@gmail.com</t>
        </is>
      </c>
      <c r="G41" s="90" t="inlineStr">
        <is>
          <t>Re: Bringing Home Farm FC to train with Atlético de Madrid &amp; Real Sociedad in Spain</t>
        </is>
      </c>
      <c r="H41" s="90" t="inlineStr">
        <is>
          <t>Hi all,
I haven't heard back, so I'll assume the timing isn't right and I won't keep emailing.
If anything changes, or you'd like the details for later, just reply here.
Wishing Home Farm FC a great season.
Best,
Joel Martinez
Founder, Always Up
joel.martinez@alwaysup.es | +1 (814) 329 1929 | alwaysup.es</t>
        </is>
      </c>
      <c r="I41"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1" s="90" t="n"/>
      <c r="K41" s="90" t="inlineStr">
        <is>
          <t>Tras este correo, pasa el club a 'Retomar en enero 2027' en el CRM.</t>
        </is>
      </c>
    </row>
    <row r="42" ht="178" customHeight="1" s="52">
      <c r="A42" s="98" t="n">
        <v>46329</v>
      </c>
      <c r="B42" s="87" t="inlineStr">
        <is>
          <t>Martes</t>
        </is>
      </c>
      <c r="C42" s="88" t="inlineStr">
        <is>
          <t>04:30 (09:30 allí)</t>
        </is>
      </c>
      <c r="D42" s="87" t="inlineStr">
        <is>
          <t>Virtu Academy</t>
        </is>
      </c>
      <c r="E42" s="87" t="inlineStr">
        <is>
          <t>Follow-up 2</t>
        </is>
      </c>
      <c r="F42" s="87" t="inlineStr">
        <is>
          <t>info@virtuacademy.co.uk</t>
        </is>
      </c>
      <c r="G42" s="87" t="inlineStr">
        <is>
          <t>Re: A question about trips to Spain for Virtu</t>
        </is>
      </c>
      <c r="H42" s="87" t="inlineStr">
        <is>
          <t>Hi team,
I'll keep this short. A lot of clubs aren't sure at first whether a trip like this would work for their families and their calendar, which is completely fair.
A 15 minute call is usually enough to see if it makes sense, with no commitment. And if now isn't the right time, just tell me and I'll check back in the new year.
Best,
Joel Martinez
Founder, Always Up
joel.martinez@alwaysup.es | +1 (814) 329 1929 | alwaysup.es</t>
        </is>
      </c>
      <c r="I42" s="87"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2" s="87" t="n"/>
      <c r="K42" s="87" t="inlineStr">
        <is>
          <t>Si contestó, no lo envíes.</t>
        </is>
      </c>
    </row>
    <row r="43" ht="62" customHeight="1" s="52">
      <c r="A43" s="96" t="n">
        <v>46330</v>
      </c>
      <c r="B43" s="81" t="inlineStr">
        <is>
          <t>Miércoles</t>
        </is>
      </c>
      <c r="C43" s="82" t="inlineStr">
        <is>
          <t>Libre</t>
        </is>
      </c>
      <c r="D43" s="81" t="inlineStr">
        <is>
          <t>FC Porte d'Aquitaine</t>
        </is>
      </c>
      <c r="E43" s="81" t="inlineStr">
        <is>
          <t>DM en redes</t>
        </is>
      </c>
      <c r="F43" s="81" t="inlineStr">
        <is>
          <t>Facebook du FC Porte d'Aquitaine</t>
        </is>
      </c>
      <c r="G43" s="81" t="inlineStr">
        <is>
          <t>(mensaje directo)</t>
        </is>
      </c>
      <c r="H43" s="81" t="inlineStr">
        <is>
          <t>Bonjour ! Je suis Joel d'Always Up. Nous emmenons des équipes de jeunes en Espagne pour des semaines d'entraînement (Atlético de Madrid, Real Sociedad). J'ai écrit au club récemment. Qui serait la bonne personne pour parler des déplacements des équipes de jeunes ?</t>
        </is>
      </c>
      <c r="I43" s="81" t="inlineStr">
        <is>
          <t>A mano desde la cuenta de la red indicada. Solo si no ha contestado al follow-up 2. Sin enlaces.</t>
        </is>
      </c>
      <c r="J43" s="81" t="n"/>
      <c r="K43" s="81" t="inlineStr">
        <is>
          <t>Solo si no hay respuesta a nada.</t>
        </is>
      </c>
    </row>
    <row r="44" ht="192.5" customHeight="1" s="52">
      <c r="A44" s="99" t="n">
        <v>46330</v>
      </c>
      <c r="B44" s="90" t="inlineStr">
        <is>
          <t>Miércoles</t>
        </is>
      </c>
      <c r="C44" s="91" t="inlineStr">
        <is>
          <t>04:30 (09:30 allí)</t>
        </is>
      </c>
      <c r="D44" s="90" t="inlineStr">
        <is>
          <t>Holbeach United</t>
        </is>
      </c>
      <c r="E44" s="90" t="inlineStr">
        <is>
          <t>Cierre</t>
        </is>
      </c>
      <c r="F44" s="90" t="inlineStr">
        <is>
          <t>callum@holbeachunitedacademy.com</t>
        </is>
      </c>
      <c r="G44" s="90" t="inlineStr">
        <is>
          <t>Re: A week in Spain for Holbeach's academy squads</t>
        </is>
      </c>
      <c r="H44" s="90" t="inlineStr">
        <is>
          <t>Hi Callum,
I haven't heard back, so I'll assume the timing isn't right and I won't keep emailing.
If anything changes, or you'd like the details for later, just reply here.
Wishing Holbeach United a great season.
Best,
Joel Martinez
Founder, Always Up
joel.martinez@alwaysup.es | +1 (814) 329 1929 | alwaysup.es</t>
        </is>
      </c>
      <c r="I44"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4" s="90" t="n"/>
      <c r="K44" s="90" t="inlineStr">
        <is>
          <t>Tras este correo, pasa el club a 'Retomar en enero 2027' en el CRM.</t>
        </is>
      </c>
    </row>
    <row r="45" ht="192.5" customHeight="1" s="52">
      <c r="A45" s="99" t="n">
        <v>46330</v>
      </c>
      <c r="B45" s="90" t="inlineStr">
        <is>
          <t>Miércoles</t>
        </is>
      </c>
      <c r="C45" s="91" t="inlineStr">
        <is>
          <t>03:30 (09:30 allí)</t>
        </is>
      </c>
      <c r="D45" s="90" t="inlineStr">
        <is>
          <t>Søreide IL</t>
        </is>
      </c>
      <c r="E45" s="90" t="inlineStr">
        <is>
          <t>Cierre</t>
        </is>
      </c>
      <c r="F45" s="90" t="inlineStr">
        <is>
          <t>fotball@soreideil.no</t>
        </is>
      </c>
      <c r="G45" s="90" t="inlineStr">
        <is>
          <t>Re: A week in Spain for Søreide's youth teams</t>
        </is>
      </c>
      <c r="H45" s="90" t="inlineStr">
        <is>
          <t>Hi Marius and Gunn,
I haven't heard back, so I'll assume the timing isn't right and I won't keep emailing.
If anything changes, or you'd like the details for later, just reply here.
Wishing Søreide IL a great season.
Best,
Joel Martinez
Founder, Always Up
joel.martinez@alwaysup.es | +1 (814) 329 1929 | alwaysup.es</t>
        </is>
      </c>
      <c r="I45"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5" s="90" t="n"/>
      <c r="K45" s="90" t="inlineStr">
        <is>
          <t>Tras este correo, pasa el club a 'Retomar en enero 2027' en el CRM.</t>
        </is>
      </c>
    </row>
    <row r="46" ht="60" customHeight="1" s="52">
      <c r="A46" s="96" t="n">
        <v>46330</v>
      </c>
      <c r="B46" s="81" t="inlineStr">
        <is>
          <t>Miércoles</t>
        </is>
      </c>
      <c r="C46" s="82" t="inlineStr">
        <is>
          <t>Libre</t>
        </is>
      </c>
      <c r="D46" s="81" t="inlineStr">
        <is>
          <t>Virtu Academy</t>
        </is>
      </c>
      <c r="E46" s="81" t="inlineStr">
        <is>
          <t>DM en redes</t>
        </is>
      </c>
      <c r="F46" s="81" t="inlineStr">
        <is>
          <t>Instagram de Virtu Academy</t>
        </is>
      </c>
      <c r="G46" s="81" t="inlineStr">
        <is>
          <t>(mensaje directo)</t>
        </is>
      </c>
      <c r="H46" s="81" t="inlineStr">
        <is>
          <t>Hi! I'm Joel from Always Up. We take youth teams to Spain for training weeks (Atlético de Madrid, Real Sociedad). I emailed the club recently. Who would be the best person to speak to about trips for your youth teams?</t>
        </is>
      </c>
      <c r="I46" s="81" t="inlineStr">
        <is>
          <t>A mano desde la cuenta de la red indicada. Solo si no ha contestado al follow-up 2. Sin enlaces.</t>
        </is>
      </c>
      <c r="J46" s="81" t="n"/>
      <c r="K46" s="81" t="inlineStr">
        <is>
          <t>Solo si no hay respuesta a nada.</t>
        </is>
      </c>
    </row>
    <row r="47" ht="192.5" customHeight="1" s="52">
      <c r="A47" s="99" t="n">
        <v>46331</v>
      </c>
      <c r="B47" s="90" t="inlineStr">
        <is>
          <t>Jueves</t>
        </is>
      </c>
      <c r="C47" s="91" t="inlineStr">
        <is>
          <t>04:30 (09:30 allí)</t>
        </is>
      </c>
      <c r="D47" s="90" t="inlineStr">
        <is>
          <t>IA Akranes</t>
        </is>
      </c>
      <c r="E47" s="90" t="inlineStr">
        <is>
          <t>Cierre</t>
        </is>
      </c>
      <c r="F47" s="90" t="inlineStr">
        <is>
          <t>kfia@ia.is</t>
        </is>
      </c>
      <c r="G47" s="90" t="inlineStr">
        <is>
          <t>Re: A question about youth trips to Spain</t>
        </is>
      </c>
      <c r="H47" s="90" t="inlineStr">
        <is>
          <t>Hi ÍA team,
I haven't heard back, so I'll assume the timing isn't right and I won't keep emailing.
If anything changes, or you'd like the details for later, just reply here.
Wishing ÍA Akranes a great season.
Best,
Joel Martinez
Founder, Always Up
joel.martinez@alwaysup.es | +1 (814) 329 1929 | alwaysup.es</t>
        </is>
      </c>
      <c r="I47"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7" s="90" t="n"/>
      <c r="K47" s="90" t="inlineStr">
        <is>
          <t>Tras este correo, pasa el club a 'Retomar en enero 2027' en el CRM.</t>
        </is>
      </c>
    </row>
    <row r="48" ht="192.5" customHeight="1" s="52">
      <c r="A48" s="99" t="n">
        <v>46331</v>
      </c>
      <c r="B48" s="90" t="inlineStr">
        <is>
          <t>Jueves</t>
        </is>
      </c>
      <c r="C48" s="91" t="inlineStr">
        <is>
          <t>04:30 (09:30 allí)</t>
        </is>
      </c>
      <c r="D48" s="90" t="inlineStr">
        <is>
          <t>Maidstone United (Girls Development Centre)</t>
        </is>
      </c>
      <c r="E48" s="90" t="inlineStr">
        <is>
          <t>Cierre</t>
        </is>
      </c>
      <c r="F48" s="90" t="inlineStr">
        <is>
          <t>info@maidstoneunited.co.uk</t>
        </is>
      </c>
      <c r="G48" s="90" t="inlineStr">
        <is>
          <t>Re: A question about the Girls Development Centre</t>
        </is>
      </c>
      <c r="H48" s="90" t="inlineStr">
        <is>
          <t>Hi team,
I haven't heard back, so I'll assume the timing isn't right and I won't keep emailing.
If anything changes, or you'd like the details for later, just reply here.
Wishing Maidstone United a great season.
Best,
Joel Martinez
Founder, Always Up
joel.martinez@alwaysup.es | +1 (814) 329 1929 | alwaysup.es</t>
        </is>
      </c>
      <c r="I48"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8" s="90" t="n"/>
      <c r="K48" s="90" t="inlineStr">
        <is>
          <t>Tras este correo, pasa el club a 'Retomar en enero 2027' en el CRM.</t>
        </is>
      </c>
    </row>
    <row r="49" ht="192.5" customHeight="1" s="52">
      <c r="A49" s="99" t="n">
        <v>46331</v>
      </c>
      <c r="B49" s="90" t="inlineStr">
        <is>
          <t>Jueves</t>
        </is>
      </c>
      <c r="C49" s="91" t="inlineStr">
        <is>
          <t>04:30 (09:30 allí)</t>
        </is>
      </c>
      <c r="D49" s="90" t="inlineStr">
        <is>
          <t>Whitehaven AFC (Juniors Girls U13-U15)</t>
        </is>
      </c>
      <c r="E49" s="90" t="inlineStr">
        <is>
          <t>Cierre</t>
        </is>
      </c>
      <c r="F49" s="90" t="inlineStr">
        <is>
          <t>Luke.johnston@whitehavenafc.com</t>
        </is>
      </c>
      <c r="G49" s="90" t="inlineStr">
        <is>
          <t>Re: A week in Spain for Whitehaven's girls teams</t>
        </is>
      </c>
      <c r="H49" s="90" t="inlineStr">
        <is>
          <t>Hi Luke,
I haven't heard back, so I'll assume the timing isn't right and I won't keep emailing.
If anything changes, or you'd like the details for later, just reply here.
Wishing Whitehaven a great season.
Best,
Joel Martinez
Founder, Always Up
joel.martinez@alwaysup.es | +1 (814) 329 1929 | alwaysup.es</t>
        </is>
      </c>
      <c r="I49"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49" s="90" t="n"/>
      <c r="K49" s="90" t="inlineStr">
        <is>
          <t>Tras este correo, pasa el club a 'Retomar en enero 2027' en el CRM.</t>
        </is>
      </c>
    </row>
    <row r="50" ht="207" customHeight="1" s="52">
      <c r="A50" s="99" t="n">
        <v>46336</v>
      </c>
      <c r="B50" s="90" t="inlineStr">
        <is>
          <t>Martes</t>
        </is>
      </c>
      <c r="C50" s="91" t="inlineStr">
        <is>
          <t>03:30 (09:30 allí)</t>
        </is>
      </c>
      <c r="D50" s="90" t="inlineStr">
        <is>
          <t>FC Porte d'Aquitaine</t>
        </is>
      </c>
      <c r="E50" s="90" t="inlineStr">
        <is>
          <t>Cierre</t>
        </is>
      </c>
      <c r="F50" s="90" t="inlineStr">
        <is>
          <t>math.bachowski.mb@gmail.com</t>
        </is>
      </c>
      <c r="G50" s="90" t="inlineStr">
        <is>
          <t>Re: Une semaine en Espagne pour les jeunes du FC Porte d'Aquitaine</t>
        </is>
      </c>
      <c r="H50" s="90" t="inlineStr">
        <is>
          <t>Bonjour Mathieu,
Je n'ai pas eu de retour, je suppose donc que le moment n'est pas le bon et je ne vous écrirai plus.
Si les choses changent, ou si vous souhaitez recevoir les détails pour plus tard, répondez simplement à ce message.
Je souhaite à le FC Porte d'Aquitaine une très belle saison.
Cordialement,
Joel Martinez
Founder, Always Up
joel.martinez@alwaysup.es | +1 (814) 329 1929 | alwaysup.es</t>
        </is>
      </c>
      <c r="I50"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50" s="90" t="n"/>
      <c r="K50" s="90" t="inlineStr">
        <is>
          <t>Tras este correo, pasa el club a 'Retomar en enero 2027' en el CRM.</t>
        </is>
      </c>
    </row>
    <row r="51" ht="192.5" customHeight="1" s="52">
      <c r="A51" s="99" t="n">
        <v>46336</v>
      </c>
      <c r="B51" s="90" t="inlineStr">
        <is>
          <t>Martes</t>
        </is>
      </c>
      <c r="C51" s="91" t="inlineStr">
        <is>
          <t>04:30 (09:30 allí)</t>
        </is>
      </c>
      <c r="D51" s="90" t="inlineStr">
        <is>
          <t>Virtu Academy</t>
        </is>
      </c>
      <c r="E51" s="90" t="inlineStr">
        <is>
          <t>Cierre</t>
        </is>
      </c>
      <c r="F51" s="90" t="inlineStr">
        <is>
          <t>info@virtuacademy.co.uk</t>
        </is>
      </c>
      <c r="G51" s="90" t="inlineStr">
        <is>
          <t>Re: A question about trips to Spain for Virtu</t>
        </is>
      </c>
      <c r="H51" s="90" t="inlineStr">
        <is>
          <t>Hi team,
I haven't heard back, so I'll assume the timing isn't right and I won't keep emailing.
If anything changes, or you'd like the details for later, just reply here.
Wishing Virtu Academy a great season.
Best,
Joel Martinez
Founder, Always Up
joel.martinez@alwaysup.es | +1 (814) 329 1929 | alwaysup.es</t>
        </is>
      </c>
      <c r="I51" s="90" t="inlineStr">
        <is>
          <t>Busca el correo original por destinatario (Outlook buscador &gt; All folders, o Mail &gt; Enviados) y pulsa Responder para que quede en el mismo hilo. Pega el texto. Sin adjuntos. Envíalo más tarde a la hora de la columna C. Antes, mira en el CRM que no haya contestado por otro canal.</t>
        </is>
      </c>
      <c r="J51" s="90" t="n"/>
      <c r="K51" s="90" t="inlineStr">
        <is>
          <t>Tras este correo, pasa el club a 'Retomar en enero 2027' en el CRM.</t>
        </is>
      </c>
    </row>
    <row r="54">
      <c r="A54" s="68" t="inlineStr">
        <is>
          <t>RESPUESTAS TIPO Y OTROS TEXTOS (para cuando contestan o para casos concretos)</t>
        </is>
      </c>
    </row>
    <row r="55" ht="120" customHeight="1" s="52">
      <c r="D55" s="62" t="inlineStr">
        <is>
          <t>Responde: quiere hablar</t>
        </is>
      </c>
      <c r="H55" s="63" t="inlineStr">
        <is>
          <t>Great, thanks for getting back to me. Would {A} or {B} work for a call? Those are your local times. If neither suits, tell me what does and I'll adapt. I'll send an invite as soon as we pick one.
Best,
Joel Martinez
Founder, Always Up
joel.martinez@alwaysup.es | +1 (814) 329 1929 | alwaysup.es</t>
        </is>
      </c>
      <c r="I55" s="63" t="inlineStr">
        <is>
          <t>Menos de 4 horas. Sustituye {A} y {B} por dos horarios de la tabla de LEEME convertidos a su hora. Si prefiere elegir él: ofrece el enlace de Calendly.</t>
        </is>
      </c>
    </row>
    <row r="56" ht="120" customHeight="1" s="52">
      <c r="D56" s="62" t="inlineStr">
        <is>
          <t>Responde: pide información</t>
        </is>
      </c>
      <c r="H56" s="63" t="inlineStr">
        <is>
          <t>Of course. I've attached our company overview and the programme sheet for Team Experience. If it's easier to talk it through, I'm happy to jump on a quick call as well, just tell me what time suits you.
Best,
Joel Martinez
Founder, Always Up
joel.martinez@alwaysup.es | +1 (814) 329 1929 | alwaysup.es</t>
        </is>
      </c>
      <c r="I56" s="63" t="inlineStr">
        <is>
          <t>Adjunta Always-Up-Company-Deck.pdf y Always-Up-Team-Experience.pdf (02-sales/assets). Menos de 4 horas.</t>
        </is>
      </c>
    </row>
    <row r="57" ht="120" customHeight="1" s="52">
      <c r="D57" s="62" t="inlineStr">
        <is>
          <t>Responde: pregunta el precio</t>
        </is>
      </c>
      <c r="H57" s="63" t="inlineStr">
        <is>
          <t>It depends on the dates and the size of the group. As a reference, the five day programme starts at around $1,500 per player. A 15 minute call would let me give you an exact figure for your squad.
Best,
Joel Martinez
Founder, Always Up
joel.martinez@alwaysup.es | +1 (814) 329 1929 | alwaysup.es</t>
        </is>
      </c>
      <c r="I57" s="63" t="inlineStr">
        <is>
          <t>Decisión tuya: dar la referencia (recomendado) o dejar el precio para la llamada.</t>
        </is>
      </c>
    </row>
    <row r="58" ht="105.5" customHeight="1" s="52">
      <c r="D58" s="62" t="inlineStr">
        <is>
          <t>Responde: ahora no</t>
        </is>
      </c>
      <c r="H58" s="63" t="inlineStr">
        <is>
          <t>No problem at all, and thanks for letting me know. Would it be okay if I check back in January, when most clubs start planning Easter and summer 2027?
Best,
Joel Martinez
Founder, Always Up
joel.martinez@alwaysup.es | +1 (814) 329 1929 | alwaysup.es</t>
        </is>
      </c>
      <c r="I58" s="63" t="inlineStr">
        <is>
          <t>Apunta en el CRM: Retomar enero 2027, con fecha.</t>
        </is>
      </c>
    </row>
    <row r="59" ht="105.5" customHeight="1" s="52">
      <c r="D59" s="62" t="inlineStr">
        <is>
          <t>Responde: no soy la persona</t>
        </is>
      </c>
      <c r="H59" s="63" t="inlineStr">
        <is>
          <t>Thanks, that's really helpful. Could you share their name and email? I'll mention that you pointed me their way.
Best,
Joel Martinez
Founder, Always Up
joel.martinez@alwaysup.es | +1 (814) 329 1929 | alwaysup.es</t>
        </is>
      </c>
      <c r="I59" s="63" t="inlineStr">
        <is>
          <t>Luego escribe al nombre que te den (usa un email 1 con su nombre) y menciona a quien te derivó.</t>
        </is>
      </c>
    </row>
    <row r="60" ht="134.5" customHeight="1" s="52">
      <c r="D60" s="62" t="inlineStr">
        <is>
          <t>Daniel (MLS NEXT): follow-up por Instagram</t>
        </is>
      </c>
      <c r="H60" s="63" t="inlineStr">
        <is>
          <t>Hola Daniel, ¿qué tal? Hace unas semanas hablamos de tu duda entre 1º y 2º de Bachillerato y de cómo encajaría con el proceso universitario en EEUU. Te escribo solo para saber si sigues con ganas de explorarlo.
Si es así, mándame tu posición y, si tienes, un vídeo o enlace de algún partido de la MLS NEXT, y te cuento con calma qué opciones reales habría en tu caso. Cuanto antes lo veamos, más margen hay para decidir bien lo del curso.
Y si ahora no es el momento, no pasa nada, dímelo y lo dejamos aquí.</t>
        </is>
      </c>
      <c r="I60" s="63" t="inlineStr">
        <is>
          <t>Instagram. Un solo follow-up. Si no contesta en 7 días, pasa a Frío en el CRM. No pidas más datos en este mensaje.</t>
        </is>
      </c>
    </row>
    <row r="61" ht="120" customHeight="1" s="52">
      <c r="D61" s="62" t="inlineStr">
        <is>
          <t>Pedir testimonio y presentaciones al club irlandés</t>
        </is>
      </c>
      <c r="H61" s="63" t="inlineStr">
        <is>
          <t>Hi [nombre], hope you and the squad are doing well. I have a small favour to ask. We're building up Always Up and your league title story means a lot to us. Would you be happy to share two or three lines about what the experience did for the players, or even a short video message? And if you know any other clubs who would enjoy a trip like yours, an introduction from you would help us enormously. Thank you so much.
Joel</t>
        </is>
      </c>
      <c r="I61" s="63" t="inlineStr">
        <is>
          <t>Mándalo tú o Enrique, por WhatsApp. El nombre del contacto lo pones tú. Si dice que sí, pídele una foto del trofeo con los jugadores (con permiso del club).</t>
        </is>
      </c>
    </row>
  </sheetData>
  <autoFilter ref="A4:K51"/>
  <mergeCells count="2">
    <mergeCell ref="A2:K2"/>
    <mergeCell ref="A54:K54"/>
  </mergeCells>
  <pageMargins left="0.75" right="0.75" top="1" bottom="1" header="0.5" footer="0.5"/>
</worksheet>
</file>

<file path=xl/worksheets/sheet5.xml><?xml version="1.0" encoding="utf-8"?>
<worksheet xmlns="http://schemas.openxmlformats.org/spreadsheetml/2006/main">
  <sheetPr>
    <tabColor rgb="000B1F3A"/>
    <outlinePr summaryBelow="1" summaryRight="1"/>
    <pageSetUpPr/>
  </sheetPr>
  <dimension ref="A1:I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style="52" min="1" max="1"/>
    <col width="11" customWidth="1" style="52" min="2" max="2"/>
    <col width="28" customWidth="1" style="52" min="3" max="3"/>
    <col width="46" customWidth="1" style="52" min="4" max="4"/>
    <col width="40" customWidth="1" style="52" min="5" max="5"/>
    <col width="44" customWidth="1" style="52" min="6" max="6"/>
    <col width="30" customWidth="1" style="52" min="7" max="7"/>
    <col width="26" customWidth="1" style="52" min="8" max="8"/>
    <col width="40" customWidth="1" style="52" min="9" max="9"/>
  </cols>
  <sheetData>
    <row r="1" ht="26" customHeight="1" s="52">
      <c r="A1" s="64" t="inlineStr">
        <is>
          <t>Plan de captación por servicio</t>
        </is>
      </c>
    </row>
    <row r="2" ht="46" customHeight="1" s="52">
      <c r="A2" s="65" t="inlineStr">
        <is>
          <t>Un único plan para conseguir clientes en todos los servicios, con prioridades. Con 10 a 20 horas semanales no se pueden empujar siete líneas a la vez: se trabajan a fondo las dos primeras, se cuida el resto con contactos cálidos y se documenta lo demás. Detalle completo en 02-sales/plan-captacion-todos-los-servicios.md.</t>
        </is>
      </c>
    </row>
    <row r="4" ht="30" customHeight="1" s="52">
      <c r="A4" s="66" t="inlineStr">
        <is>
          <t>Servicio</t>
        </is>
      </c>
      <c r="B4" s="66" t="inlineStr">
        <is>
          <t>Prioridad</t>
        </is>
      </c>
      <c r="C4" s="66" t="inlineStr">
        <is>
          <t>Quién compra</t>
        </is>
      </c>
      <c r="D4" s="66" t="inlineStr">
        <is>
          <t>Dónde lo encontramos (por orden de rendimiento)</t>
        </is>
      </c>
      <c r="E4" s="66" t="inlineStr">
        <is>
          <t>Qué decimos en el primer mensaje</t>
        </is>
      </c>
      <c r="F4" s="66" t="inlineStr">
        <is>
          <t>Qué se hace cada semana</t>
        </is>
      </c>
      <c r="G4" s="66" t="inlineStr">
        <is>
          <t>Objetivo a 30 días</t>
        </is>
      </c>
      <c r="H4" s="66" t="inlineStr">
        <is>
          <t>Material</t>
        </is>
      </c>
      <c r="I4" s="66" t="inlineStr">
        <is>
          <t>Límites y riesgos</t>
        </is>
      </c>
    </row>
    <row r="5" ht="91" customHeight="1" s="52">
      <c r="A5" s="62" t="inlineStr">
        <is>
          <t>Team Experience</t>
        </is>
      </c>
      <c r="B5" s="92" t="inlineStr">
        <is>
          <t>1 (principal)</t>
        </is>
      </c>
      <c r="C5" s="63" t="inlineStr">
        <is>
          <t>Club o comité de equipos de 12 a 18 años, preferiblemente de los que ya viajan</t>
        </is>
      </c>
      <c r="D5" s="63" t="inlineStr">
        <is>
          <t>1) Email con nombre y apellido (Claude investiga).
2) Referidos del club irlandés.
3) LinkedIn al decisor.
4) DM de Instagram o Facebook del club.
5) Listas de participantes de torneos en España.</t>
        </is>
      </c>
      <c r="E5" s="63" t="inlineStr">
        <is>
          <t>Una semana de entrenamiento en las instalaciones de Atlético y Real Sociedad. Pregunta de dos opciones: llamada corta o resumen.</t>
        </is>
      </c>
      <c r="F5" s="63" t="inlineStr">
        <is>
          <t>Tanda nueva de 5 a 8 clubes. Follow-ups según calendario. 5 conexiones de LinkedIn. Una petición de referidos.</t>
        </is>
      </c>
      <c r="G5" s="63" t="inlineStr">
        <is>
          <t>25 clubes contactados con nombre, 3 a 5 respuestas, 2 llamadas.</t>
        </is>
      </c>
      <c r="H5" s="63" t="inlineStr">
        <is>
          <t>Ficha Team Experience y deck de empresa (solo tras respuesta).</t>
        </is>
      </c>
      <c r="I5" s="63" t="inlineStr">
        <is>
          <t>Ciclo largo: el cierre probable es de noviembre a enero. Mucha lista de torneos no sirve: clubes ya inactivos o sin contacto.</t>
        </is>
      </c>
    </row>
    <row r="6" ht="60" customHeight="1" s="52">
      <c r="A6" s="62" t="inlineStr">
        <is>
          <t>Coach Experience</t>
        </is>
      </c>
      <c r="B6" s="92" t="inlineStr">
        <is>
          <t>1 (junto a Team)</t>
        </is>
      </c>
      <c r="C6" s="63" t="inlineStr">
        <is>
          <t>Director técnico o entrenadores de los mismos clubes</t>
        </is>
      </c>
      <c r="D6" s="63" t="inlineStr">
        <is>
          <t>Se vende en la misma conversación que Team Experience. Después: asociaciones de entrenadores y cursos.</t>
        </is>
      </c>
      <c r="E6" s="63" t="inlineStr">
        <is>
          <t>En la llamada: «¿os interesaría también que vuestros entrenadores se formen con la metodología del club?»</t>
        </is>
      </c>
      <c r="F6" s="63" t="inlineStr">
        <is>
          <t>Mencionarlo en el 100 % de las llamadas. Una publicación en LinkedIn sobre formación de entrenadores.</t>
        </is>
      </c>
      <c r="G6" s="63" t="inlineStr">
        <is>
          <t>Que salga en todas las propuestas como opción.</t>
        </is>
      </c>
      <c r="H6" s="63" t="inlineStr">
        <is>
          <t>Ficha Coach Experience.</t>
        </is>
      </c>
      <c r="I6" s="63" t="inlineStr">
        <is>
          <t>No hace falta outreach propio todavía. No lo dispersemos.</t>
        </is>
      </c>
    </row>
    <row r="7" ht="91" customHeight="1" s="52">
      <c r="A7" s="62" t="inlineStr">
        <is>
          <t>Becas EEUU (Study &amp; Play USA)</t>
        </is>
      </c>
      <c r="B7" s="92" t="inlineStr">
        <is>
          <t>1 (el que cierra antes)</t>
        </is>
      </c>
      <c r="C7" s="63" t="inlineStr">
        <is>
          <t>Familias de jugadores de 14 a 22 años, y sus entrenadores</t>
        </is>
      </c>
      <c r="D7" s="63" t="inlineStr">
        <is>
          <t>1) DMs entrantes de Instagram y WhatsApp.
2) Contenido de Instagram.
3) Entrenadores y academias que recomiendan a sus jugadores.
4) Referidos de familias que ya hablaron con nosotros.</t>
        </is>
      </c>
      <c r="E7" s="63" t="inlineStr">
        <is>
          <t>Las 4 preguntas de cualificación (nivel, vídeo, notas, presupuesto del año en EEUU). Nunca prometer beca ni nombrar al partner.</t>
        </is>
      </c>
      <c r="F7" s="63" t="inlineStr">
        <is>
          <t>Responder todo en menos de 12 h. Seguimiento a cada lead según etapa. 2 o 3 contenidos. Desde la semana 3: 5 mensajes a entrenadores prescriptores.</t>
        </is>
      </c>
      <c r="G7" s="63" t="inlineStr">
        <is>
          <t>10 leads cualificados, 3 llamadas, 1 cierre (Omar, Daniel o el del béisbol son los más avanzados).</t>
        </is>
      </c>
      <c r="H7" s="63" t="inlineStr">
        <is>
          <t>Ficha Becas EEUU + vídeo del jugador.</t>
        </is>
      </c>
      <c r="I7" s="63" t="inlineStr">
        <is>
          <t>Depende del nivel real del jugador. No descontar como primera respuesta: primero diagnosticar la objeción.</t>
        </is>
      </c>
    </row>
    <row r="8" ht="60" customHeight="1" s="52">
      <c r="A8" s="62" t="inlineStr">
        <is>
          <t>Campus Internacional (ATM y Real Sociedad fuera de España)</t>
        </is>
      </c>
      <c r="B8" s="84" t="inlineStr">
        <is>
          <t>2 (pocas operaciones, alto valor)</t>
        </is>
      </c>
      <c r="C8" s="63" t="inlineStr">
        <is>
          <t>Academias o clubes extranjeros que quieren entrenadores del Atlético o la Real en su ciudad</t>
        </is>
      </c>
      <c r="D8" s="63" t="inlineStr">
        <is>
          <t>Contactos cálidos primero: Bélgica, SADE Puerto Rico, Leonardo Uren (Brasil). Sin outreach frío hasta decidir la estructura.</t>
        </is>
      </c>
      <c r="E8" s="63" t="inlineStr">
        <is>
          <t>Solo con contactos cálidos, tras decidir estructura A o B con Enrique (23/10).</t>
        </is>
      </c>
      <c r="F8" s="63" t="inlineStr">
        <is>
          <t>Retomar los 3 contactos cálidos. Decidir estructura y política de pago.</t>
        </is>
      </c>
      <c r="G8" s="63" t="inlineStr">
        <is>
          <t>Decisión tomada y 3 conversaciones activas.</t>
        </is>
      </c>
      <c r="H8" s="63" t="inlineStr">
        <is>
          <t>Diapositiva del deck. Ficha pendiente.</t>
        </is>
      </c>
      <c r="I8" s="63" t="inlineStr">
        <is>
          <t>Riesgo de caja (cobro 50/50) y de plazas sin llenar. No vender sin decidir quién asume el riesgo.</t>
        </is>
      </c>
    </row>
    <row r="9" ht="60" customHeight="1" s="52">
      <c r="A9" s="62" t="inlineStr">
        <is>
          <t>International Program (Real Sociedad)</t>
        </is>
      </c>
      <c r="B9" s="84" t="inlineStr">
        <is>
          <t>2</t>
        </is>
      </c>
      <c r="C9" s="63" t="inlineStr">
        <is>
          <t>Familias de jugadores de 12 a 18 años y academias extranjeras</t>
        </is>
      </c>
      <c r="D9" s="63" t="inlineStr">
        <is>
          <t>Instagram, referidos y los contactos de Puerto Rico y Brasil. No hay outreach frío.</t>
        </is>
      </c>
      <c r="E9" s="63" t="inlineStr">
        <is>
          <t>Se ofrece cuando el perfil del lead encaja (edad y nivel), nunca como premio de consolación.</t>
        </is>
      </c>
      <c r="F9" s="63" t="inlineStr">
        <is>
          <t>Recoger interés entrante. Preguntar a RS por plazas y plazos 2027.</t>
        </is>
      </c>
      <c r="G9" s="63" t="inlineStr">
        <is>
          <t>Respuesta de RS y ficha preparada.</t>
        </is>
      </c>
      <c r="H9" s="63" t="inlineStr">
        <is>
          <t>Diapositiva del deck. Ficha pendiente.</t>
        </is>
      </c>
      <c r="I9" s="63" t="inlineStr">
        <is>
          <t>Sin fechas de plazas no hay urgencia real. No inventarla.</t>
        </is>
      </c>
    </row>
    <row r="10" ht="60" customHeight="1" s="52">
      <c r="A10" s="62" t="inlineStr">
        <is>
          <t>GEE (colegios privados en EEUU)</t>
        </is>
      </c>
      <c r="B10" s="93" t="inlineStr">
        <is>
          <t>3</t>
        </is>
      </c>
      <c r="C10" s="63" t="inlineStr">
        <is>
          <t>Familias de jugadores de 14 a 17 años que buscan high school privado en EEUU</t>
        </is>
      </c>
      <c r="D10" s="63" t="inlineStr">
        <is>
          <t>Dentro de la cualificación de Becas, como opción cuando encaja. Es un partner externo.</t>
        </is>
      </c>
      <c r="E10" s="63" t="inlineStr">
        <is>
          <t>Se menciona en la conversación de becas, no es un primer mensaje.</t>
        </is>
      </c>
      <c r="F10" s="63" t="inlineStr">
        <is>
          <t>Nada propio. Ficha aparte.</t>
        </is>
      </c>
      <c r="G10" s="63" t="inlineStr">
        <is>
          <t>Ficha GEE creada.</t>
        </is>
      </c>
      <c r="H10" s="63" t="inlineStr">
        <is>
          <t>Ficha pendiente.</t>
        </is>
      </c>
      <c r="I10" s="63" t="inlineStr">
        <is>
          <t>Dependemos del partner. Comprador distinto al de becas universitarias: ficha separada.</t>
        </is>
      </c>
    </row>
    <row r="11" ht="60" customHeight="1" s="52">
      <c r="A11" s="62" t="inlineStr">
        <is>
          <t>Oportunidades profesionales (Alemania y España) y Player Development</t>
        </is>
      </c>
      <c r="B11" s="93" t="inlineStr">
        <is>
          <t>4 (sin estructurar)</t>
        </is>
      </c>
      <c r="C11" s="63" t="inlineStr">
        <is>
          <t>Jugadores 16 a 22 años con nivel profesional posible</t>
        </is>
      </c>
      <c r="D11" s="63" t="inlineStr">
        <is>
          <t>No hay outreach. Se recoge interés que llegue por Instagram.</t>
        </is>
      </c>
      <c r="E11" s="63" t="inlineStr">
        <is>
          <t>Ninguno todavía.</t>
        </is>
      </c>
      <c r="F11" s="63" t="inlineStr">
        <is>
          <t>Apuntar interés en 'Oportunidades y notas'.</t>
        </is>
      </c>
      <c r="G11" s="63" t="inlineStr">
        <is>
          <t>Ninguno.</t>
        </is>
      </c>
      <c r="H11" s="63" t="inlineStr">
        <is>
          <t>Ninguno.</t>
        </is>
      </c>
      <c r="I11" s="63" t="inlineStr">
        <is>
          <t>Exposición legal con agentes FIFA y menores: usar siempre agente licenciado y abogado. No empezar hasta tener estructura.</t>
        </is>
      </c>
    </row>
    <row r="12" ht="62" customHeight="1" s="52">
      <c r="A12" s="62" t="inlineStr">
        <is>
          <t>Transversal: marca y canales</t>
        </is>
      </c>
      <c r="B12" s="93" t="inlineStr">
        <is>
          <t>Constante</t>
        </is>
      </c>
      <c r="C12" s="63" t="inlineStr">
        <is>
          <t>Todos</t>
        </is>
      </c>
      <c r="D12" s="63" t="inlineStr">
        <is>
          <t>Instagram (10.000 seguidores a fin de 2026), LinkedIn (perfil terminado y deck público subido), web alwaysup.es, Calendly (pendiente de tu horario).</t>
        </is>
      </c>
      <c r="E12" s="63" t="inlineStr">
        <is>
          <t>Siempre la misma promesa: experiencias reales con clubes profesionales.</t>
        </is>
      </c>
      <c r="F12" s="63" t="inlineStr">
        <is>
          <t>3 stories o posts por semana. 10 minutos de LinkedIn en días alternos.</t>
        </is>
      </c>
      <c r="G12" s="63" t="inlineStr">
        <is>
          <t>Sesión de redes el 17/10 y plan de 4 semanas.</t>
        </is>
      </c>
      <c r="H12" s="63" t="inlineStr">
        <is>
          <t>Perfiles y deck.</t>
        </is>
      </c>
      <c r="I12" s="63" t="inlineStr">
        <is>
          <t>Sin fotos de menores identificables.</t>
        </is>
      </c>
    </row>
  </sheetData>
  <mergeCells count="1">
    <mergeCell ref="A2:I2"/>
  </mergeCells>
  <pageMargins left="0.75" right="0.75" top="1" bottom="1" header="0.5" footer="0.5"/>
</worksheet>
</file>

<file path=xl/worksheets/sheet6.xml><?xml version="1.0" encoding="utf-8"?>
<worksheet xmlns="http://schemas.openxmlformats.org/spreadsheetml/2006/main">
  <sheetPr>
    <tabColor rgb="000B1F3A"/>
    <outlinePr summaryBelow="1" summaryRight="1"/>
    <pageSetUpPr/>
  </sheetPr>
  <dimension ref="A1:G16"/>
  <sheetViews>
    <sheetView workbookViewId="0">
      <selection activeCell="A1" sqref="A1"/>
    </sheetView>
  </sheetViews>
  <sheetFormatPr baseColWidth="8" defaultRowHeight="15"/>
  <cols>
    <col width="24" customWidth="1" style="52" min="1" max="1"/>
    <col width="36" customWidth="1" style="52" min="2" max="2"/>
    <col width="56" customWidth="1" style="52" min="3" max="3"/>
    <col width="18" customWidth="1" style="52" min="4" max="4"/>
    <col width="28" customWidth="1" style="52" min="5" max="5"/>
    <col width="12" customWidth="1" style="52" min="6" max="6"/>
    <col width="46" customWidth="1" style="52" min="7" max="7"/>
  </cols>
  <sheetData>
    <row r="1" ht="26" customHeight="1" s="52">
      <c r="A1" s="64" t="inlineStr">
        <is>
          <t>Verificación de contactos (control de calidad)</t>
        </is>
      </c>
    </row>
    <row r="2" ht="46" customHeight="1" s="52">
      <c r="A2" s="65" t="inlineStr">
        <is>
          <t>Qué he comprobado de cada dirección y con qué fiabilidad. Importante: ningún método permite saber al 100 % que un buzón existe hasta enviar. Por eso, tras cada envío miras los rebotes a los pocos minutos (tarea diaria del calendario). «Dominio recibe correo» significa que el dominio tiene servidor de correo activo.</t>
        </is>
      </c>
    </row>
    <row r="4" ht="30" customHeight="1" s="52">
      <c r="A4" s="66" t="inlineStr">
        <is>
          <t>Club</t>
        </is>
      </c>
      <c r="B4" s="66" t="inlineStr">
        <is>
          <t>Email</t>
        </is>
      </c>
      <c r="C4" s="66" t="inlineStr">
        <is>
          <t>Fuente</t>
        </is>
      </c>
      <c r="D4" s="66" t="inlineStr">
        <is>
          <t>Dominio recibe correo</t>
        </is>
      </c>
      <c r="E4" s="66" t="inlineStr">
        <is>
          <t>Estado</t>
        </is>
      </c>
      <c r="F4" s="66" t="inlineStr">
        <is>
          <t>Fiabilidad</t>
        </is>
      </c>
      <c r="G4" s="66" t="inlineStr">
        <is>
          <t>Plan B si falla</t>
        </is>
      </c>
    </row>
    <row r="5" ht="30" customHeight="1" s="52">
      <c r="A5" s="63" t="inlineStr">
        <is>
          <t>Home Farm FC</t>
        </is>
      </c>
      <c r="B5" s="63" t="inlineStr">
        <is>
          <t>homefarmfc@gmail.com</t>
        </is>
      </c>
      <c r="C5" s="63" t="inlineStr">
        <is>
          <t>Email del club en dbsportstours; enviado 13/10</t>
        </is>
      </c>
      <c r="D5" s="63" t="inlineStr">
        <is>
          <t>Sí</t>
        </is>
      </c>
      <c r="E5" s="63" t="inlineStr">
        <is>
          <t>Entregado (sin rebote a las 21:30 de España)</t>
        </is>
      </c>
      <c r="F5" s="92" t="inlineStr">
        <is>
          <t>Alta</t>
        </is>
      </c>
      <c r="G5" s="63" t="inlineStr">
        <is>
          <t>Facebook del club</t>
        </is>
      </c>
    </row>
    <row r="6" ht="30" customHeight="1" s="52">
      <c r="A6" s="63" t="inlineStr">
        <is>
          <t>Hastings United</t>
        </is>
      </c>
      <c r="B6" s="63" t="inlineStr">
        <is>
          <t>georgia.townsend@hastingsunited.com</t>
        </is>
      </c>
      <c r="C6" s="63" t="inlineStr">
        <is>
          <t>Directorio de la academia; enviado 13/10</t>
        </is>
      </c>
      <c r="D6" s="63" t="inlineStr">
        <is>
          <t>Sí</t>
        </is>
      </c>
      <c r="E6" s="63" t="inlineStr">
        <is>
          <t>Entregado (sin rebote)</t>
        </is>
      </c>
      <c r="F6" s="92" t="inlineStr">
        <is>
          <t>Alta</t>
        </is>
      </c>
      <c r="G6" s="63" t="inlineStr">
        <is>
          <t>Instagram del club</t>
        </is>
      </c>
    </row>
    <row r="7" ht="33" customHeight="1" s="52">
      <c r="A7" s="63" t="inlineStr">
        <is>
          <t>Søreide IL</t>
        </is>
      </c>
      <c r="B7" s="63" t="inlineStr">
        <is>
          <t>fotball@soreideil.no</t>
        </is>
      </c>
      <c r="C7" s="63" t="inlineStr">
        <is>
          <t>soreideil.no/fotball/kontaktinformasjon (publicado por el club)</t>
        </is>
      </c>
      <c r="D7" s="63" t="inlineStr">
        <is>
          <t>Sí</t>
        </is>
      </c>
      <c r="E7" s="63" t="inlineStr">
        <is>
          <t>Pendiente de enviar</t>
        </is>
      </c>
      <c r="F7" s="92" t="inlineStr">
        <is>
          <t>Alta</t>
        </is>
      </c>
      <c r="G7" s="63" t="inlineStr">
        <is>
          <t>Facebook del club</t>
        </is>
      </c>
    </row>
    <row r="8" ht="33" customHeight="1" s="52">
      <c r="A8" s="63" t="inlineStr">
        <is>
          <t>Holbeach United</t>
        </is>
      </c>
      <c r="B8" s="63" t="inlineStr">
        <is>
          <t>callum@holbeachunitedacademy.com</t>
        </is>
      </c>
      <c r="C8" s="63" t="inlineStr">
        <is>
          <t>holbeachunitedcsa.org.uk/contact (Callum Lawe, vicepresidente de la Academia)</t>
        </is>
      </c>
      <c r="D8" s="63" t="inlineStr">
        <is>
          <t>Sí</t>
        </is>
      </c>
      <c r="E8" s="63" t="inlineStr">
        <is>
          <t>Pendiente de enviar</t>
        </is>
      </c>
      <c r="F8" s="92" t="inlineStr">
        <is>
          <t>Alta</t>
        </is>
      </c>
      <c r="G8" s="63" t="inlineStr">
        <is>
          <t>info@holbeachunitedcsa.org.uk</t>
        </is>
      </c>
    </row>
    <row r="9" ht="47.5" customHeight="1" s="52">
      <c r="A9" s="63" t="inlineStr">
        <is>
          <t>Whitehaven AFC</t>
        </is>
      </c>
      <c r="B9" s="63" t="inlineStr">
        <is>
          <t>Luke.johnston@whitehavenafc.com</t>
        </is>
      </c>
      <c r="C9" s="63" t="inlineStr">
        <is>
          <t>Aparece como email de contacto del club en dos búsquedas. La web no lo muestra en texto (lo comprobé abriendo la página).</t>
        </is>
      </c>
      <c r="D9" s="63" t="inlineStr">
        <is>
          <t>Sí</t>
        </is>
      </c>
      <c r="E9" s="63" t="inlineStr">
        <is>
          <t>Pendiente de enviar</t>
        </is>
      </c>
      <c r="F9" s="84" t="inlineStr">
        <is>
          <t>Media</t>
        </is>
      </c>
      <c r="G9" s="63" t="inlineStr">
        <is>
          <t>Facebook de Whitehaven AFC o teléfono +44 1946 692211</t>
        </is>
      </c>
    </row>
    <row r="10" ht="30" customHeight="1" s="52">
      <c r="A10" s="63" t="inlineStr">
        <is>
          <t>Maidstone United</t>
        </is>
      </c>
      <c r="B10" s="63" t="inlineStr">
        <is>
          <t>info@maidstoneunited.co.uk</t>
        </is>
      </c>
      <c r="C10" s="63" t="inlineStr">
        <is>
          <t>Contacto general del club (búsqueda)</t>
        </is>
      </c>
      <c r="D10" s="63" t="inlineStr">
        <is>
          <t>Sí</t>
        </is>
      </c>
      <c r="E10" s="63" t="inlineStr">
        <is>
          <t>Pendiente de enviar</t>
        </is>
      </c>
      <c r="F10" s="84" t="inlineStr">
        <is>
          <t>Media</t>
        </is>
      </c>
      <c r="G10" s="63" t="inlineStr">
        <is>
          <t>Teléfono 078 3585 4704 (Girls Development Centre) o redes</t>
        </is>
      </c>
    </row>
    <row r="11" ht="30" customHeight="1" s="52">
      <c r="A11" s="63" t="inlineStr">
        <is>
          <t>IA Akranes</t>
        </is>
      </c>
      <c r="B11" s="63" t="inlineStr">
        <is>
          <t>kfia@ia.is</t>
        </is>
      </c>
      <c r="C11" s="63" t="inlineStr">
        <is>
          <t>Contacto del club (kfia.is y búsqueda)</t>
        </is>
      </c>
      <c r="D11" s="63" t="inlineStr">
        <is>
          <t>Sí</t>
        </is>
      </c>
      <c r="E11" s="63" t="inlineStr">
        <is>
          <t>Pendiente de enviar</t>
        </is>
      </c>
      <c r="F11" s="84" t="inlineStr">
        <is>
          <t>Media-alta</t>
        </is>
      </c>
      <c r="G11" s="63" t="inlineStr">
        <is>
          <t>Facebook del club</t>
        </is>
      </c>
    </row>
    <row r="12" ht="30" customHeight="1" s="52">
      <c r="A12" s="63" t="inlineStr">
        <is>
          <t>Virtu Academy</t>
        </is>
      </c>
      <c r="B12" s="63" t="inlineStr">
        <is>
          <t>info@virtuacademy.co.uk</t>
        </is>
      </c>
      <c r="C12" s="63" t="inlineStr">
        <is>
          <t>virtuacademy.co.uk (búsqueda)</t>
        </is>
      </c>
      <c r="D12" s="63" t="inlineStr">
        <is>
          <t>Sí</t>
        </is>
      </c>
      <c r="E12" s="63" t="inlineStr">
        <is>
          <t>Pendiente de enviar</t>
        </is>
      </c>
      <c r="F12" s="84" t="inlineStr">
        <is>
          <t>Media</t>
        </is>
      </c>
      <c r="G12" s="63" t="inlineStr">
        <is>
          <t>Instagram del club</t>
        </is>
      </c>
    </row>
    <row r="13" ht="33" customHeight="1" s="52">
      <c r="A13" s="63" t="inlineStr">
        <is>
          <t>FC Porte d'Aquitaine</t>
        </is>
      </c>
      <c r="B13" s="63" t="inlineStr">
        <is>
          <t>math.bachowski.mb@gmail.com</t>
        </is>
      </c>
      <c r="C13" s="63" t="inlineStr">
        <is>
          <t>Responsable técnico de jóvenes según directorio (búsqueda). Gmail personal.</t>
        </is>
      </c>
      <c r="D13" s="63" t="inlineStr">
        <is>
          <t>Sí</t>
        </is>
      </c>
      <c r="E13" s="63" t="inlineStr">
        <is>
          <t>Pendiente de enviar</t>
        </is>
      </c>
      <c r="F13" s="84" t="inlineStr">
        <is>
          <t>Media</t>
        </is>
      </c>
      <c r="G13" s="63" t="inlineStr">
        <is>
          <t>Email oficial del club en la FFF: 560792@lfna.fr</t>
        </is>
      </c>
    </row>
    <row r="15" ht="32" customHeight="1" s="52">
      <c r="A15" s="57" t="inlineStr">
        <is>
          <t>Descartados tras investigar (13/10): Morecambe Hawks United (equipo local pequeño, no encaja), Team ALTI (sin datos fiables), Lower Ormond (existe en la lista de Semana Santa pero no encuentro contacto).</t>
        </is>
      </c>
    </row>
    <row r="16" ht="32" customHeight="1" s="52">
      <c r="A16" s="57" t="inlineStr">
        <is>
          <t>Excelsior Rotterdam: club profesional con academia (Joep Breimer, jefe de desarrollo de la cantera). Perfil distinto, prioridad baja.</t>
        </is>
      </c>
    </row>
  </sheetData>
  <mergeCells count="3">
    <mergeCell ref="A16:G16"/>
    <mergeCell ref="A2:G2"/>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9"/>
  <sheetViews>
    <sheetView workbookViewId="0">
      <pane ySplit="5" topLeftCell="A6" activePane="bottomLeft" state="frozen"/>
      <selection pane="bottomLeft" activeCell="A1" sqref="A1:O1"/>
    </sheetView>
  </sheetViews>
  <sheetFormatPr baseColWidth="10" defaultColWidth="8.83203125" defaultRowHeight="15"/>
  <cols>
    <col width="26" customWidth="1" style="52" min="1" max="1"/>
    <col width="12" customWidth="1" style="52" min="2" max="2"/>
    <col width="14" customWidth="1" style="52" min="3" max="3"/>
    <col width="30" customWidth="1" style="52" min="4" max="4"/>
    <col width="16" customWidth="1" style="52" min="5" max="5"/>
    <col width="22" customWidth="1" style="52" min="6" max="7"/>
    <col width="20" customWidth="1" style="52" min="8" max="8"/>
    <col width="18" customWidth="1" style="52" min="9" max="9"/>
    <col width="28" customWidth="1" style="52" min="10" max="10"/>
    <col width="30" customWidth="1" style="52" min="11" max="11"/>
    <col width="45" customWidth="1" style="52" min="12" max="12"/>
    <col width="12" customWidth="1" style="52" min="13" max="13"/>
    <col width="14" customWidth="1" style="52" min="14" max="14"/>
    <col width="30" customWidth="1" style="52" min="15" max="15"/>
    <col width="55" customWidth="1" style="52" min="16" max="16"/>
  </cols>
  <sheetData>
    <row r="1" ht="18" customHeight="1" s="52">
      <c r="A1" s="55" t="inlineStr">
        <is>
          <t>Segmento A — Clubes juveniles internacionales</t>
        </is>
      </c>
    </row>
    <row r="2">
      <c r="A2" s="56" t="inlineStr">
        <is>
          <t>Perfil Greystones/Homefarm: decide un entrenador o comité de club, ciclo de venta corto.</t>
        </is>
      </c>
    </row>
    <row r="3" ht="60" customHeight="1" s="52">
      <c r="A3" s="58" t="inlineStr">
        <is>
          <t>Prioridad principal (ver plan-ventas-maestro.md sección 3). Estado: usar exactamente estos valores para que las fórmulas de la pestaña Hoy funcionen — Pendiente investigar / Listo para enviar / Enviado / Respondido / Llamada agendada / Llamada realizada / Cerrado / Perdido / En negociación / Solo info.</t>
        </is>
      </c>
    </row>
    <row r="4"/>
    <row r="5" ht="28" customHeight="1" s="52">
      <c r="A5" s="3" t="inlineStr">
        <is>
          <t>Club/Academia</t>
        </is>
      </c>
      <c r="B5" s="3" t="inlineStr">
        <is>
          <t>País</t>
        </is>
      </c>
      <c r="C5" s="3" t="inlineStr">
        <is>
          <t>Categoría/Edad</t>
        </is>
      </c>
      <c r="D5" s="3" t="inlineStr">
        <is>
          <t>Motivo de interés (contrastado)</t>
        </is>
      </c>
      <c r="E5" s="3" t="inlineStr">
        <is>
          <t>Fuente</t>
        </is>
      </c>
      <c r="F5" s="3" t="inlineStr">
        <is>
          <t>Contacto (nombre)</t>
        </is>
      </c>
      <c r="G5" s="3" t="inlineStr">
        <is>
          <t>Email</t>
        </is>
      </c>
      <c r="H5" s="3" t="inlineStr">
        <is>
          <t>Teléfono</t>
        </is>
      </c>
      <c r="I5" s="3" t="inlineStr">
        <is>
          <t>Estado</t>
        </is>
      </c>
      <c r="J5" s="3" t="inlineStr">
        <is>
          <t>Próxima acción</t>
        </is>
      </c>
      <c r="K5" s="3" t="inlineStr">
        <is>
          <t>Asunto email</t>
        </is>
      </c>
      <c r="L5" s="3" t="inlineStr">
        <is>
          <t>Cuerpo email</t>
        </is>
      </c>
      <c r="M5" s="3" t="inlineStr">
        <is>
          <t>Fecha envío</t>
        </is>
      </c>
      <c r="N5" s="3" t="inlineStr">
        <is>
          <t>Fecha último contacto</t>
        </is>
      </c>
      <c r="O5" s="3" t="inlineStr">
        <is>
          <t>Notas</t>
        </is>
      </c>
      <c r="P5" s="12" t="inlineStr">
        <is>
          <t>Qué adjuntar (por etapa)</t>
        </is>
      </c>
    </row>
    <row r="6" ht="60" customHeight="1" s="52">
      <c r="A6" s="4" t="inlineStr">
        <is>
          <t>Home Farm FC (chicas U13-U15)</t>
        </is>
      </c>
      <c r="B6" s="4" t="inlineStr">
        <is>
          <t>Irlanda</t>
        </is>
      </c>
      <c r="C6" s="4" t="inlineStr">
        <is>
          <t>U13-U15 chicas</t>
        </is>
      </c>
      <c r="D6" s="9" t="inlineStr">
        <is>
          <t>Mismo perfil exacto que Greystones (irlandés, viaja a España)</t>
        </is>
      </c>
      <c r="E6" s="4" t="inlineStr">
        <is>
          <t>dbsportstours.com</t>
        </is>
      </c>
      <c r="F6" s="9" t="inlineStr">
        <is>
          <t>Karl Higgins (U13) / Mark Kelly (U14) / Aaron Doherty (U15)</t>
        </is>
      </c>
      <c r="G6" s="4" t="inlineStr">
        <is>
          <t>homefarmfc@gmail.com</t>
        </is>
      </c>
      <c r="H6" s="4" t="inlineStr">
        <is>
          <t>Karl 087-3838347 / Mark 085-1116953 / Aaron 087-6242781</t>
        </is>
      </c>
      <c r="I6" s="4" t="inlineStr">
        <is>
          <t>Enviado</t>
        </is>
      </c>
      <c r="J6" s="9" t="inlineStr">
        <is>
          <t>Follow-up 1 el 20/10/2026 en el mismo hilo (enviar a las 07:30 hora Nueva York). Textos en la hoja 'Textos para copiar'.</t>
        </is>
      </c>
      <c r="K6" s="9" t="inlineStr">
        <is>
          <t>Bringing Home Farm FC to train with Atlético de Madrid &amp; Real Sociedad in Spain</t>
        </is>
      </c>
      <c r="L6" s="9" t="inlineStr">
        <is>
          <t>Hi Karl / Mark / Aaron,
I'm Joel, I run Always Up — we bring international youth clubs to Spain to train directly at the facilities of Atletico de Madrid, Real Sociedad and Sporting de Gijon.
I came across Home Farm FC's girls programme and thought this could be a great fit — same profile as one of our longtime Irish partner clubs.
After 3 years training with us, that club won their first league title in the club's history, and their coaches credited part of it to the experience: 'No doubt our Atletico de Madrid Experience helped us win our league title... it gives players the belief they are special.'
And with Spain now World Cup Champions, there's never been a better time for international teams to train and compete on Spanish soil.
Would you have 15 minutes this week to hear more?
Best,
Joel</t>
        </is>
      </c>
      <c r="M6" s="10" t="n">
        <v>46308</v>
      </c>
      <c r="N6" s="10" t="n">
        <v>46308</v>
      </c>
      <c r="O6" s="9" t="inlineStr">
        <is>
          <t>Email ya preparado y revisado 2026-08-29 — solo falta que Joel lo envíe | Enviado 13/10/2026 a las 15:23 (hora de Nueva York) desde joel.martinez@alwaysup.es, solo texto, sin firma ni adjuntos</t>
        </is>
      </c>
      <c r="P6" s="9" t="inlineStr">
        <is>
          <t>1er email: NADA adjunto, solo texto (firma de texto plano). Si responde con interés: ficha Always-Up-Team-Experience.pdf. Antes de la llamada: deck de empresa (pendiente de crear), solo si hace falta. Tras la llamada: propuesta escrita.</t>
        </is>
      </c>
    </row>
    <row r="7" ht="60" customHeight="1" s="52">
      <c r="A7" s="4" t="inlineStr">
        <is>
          <t>Søreide IL</t>
        </is>
      </c>
      <c r="B7" s="4" t="inlineStr">
        <is>
          <t>Noruega</t>
        </is>
      </c>
      <c r="C7" s="4" t="inlineStr">
        <is>
          <t>Sin confirmar</t>
        </is>
      </c>
      <c r="D7" s="9" t="inlineStr">
        <is>
          <t>Participante confirmado Costa Daurada Cup 2026</t>
        </is>
      </c>
      <c r="E7" s="4" t="inlineStr">
        <is>
          <t>costadauradacup.com</t>
        </is>
      </c>
      <c r="F7" s="9" t="inlineStr">
        <is>
          <t>Marius Engen (sportslig leder) / Gunn Eklund Breisnes (leder)</t>
        </is>
      </c>
      <c r="G7" s="4" t="inlineStr">
        <is>
          <t>fotball@soreideil.no</t>
        </is>
      </c>
      <c r="H7" s="4" t="n"/>
      <c r="I7" s="4" t="inlineStr">
        <is>
          <t>Listo para enviar</t>
        </is>
      </c>
      <c r="J7" s="9" t="inlineStr">
        <is>
          <t>Enviar el 14/10/2026 a las 07:30 hora Nueva York. Textos en la hoja 'Textos para copiar'.</t>
        </is>
      </c>
      <c r="K7" s="9" t="inlineStr">
        <is>
          <t>A week in Spain for Søreide's youth teams</t>
        </is>
      </c>
      <c r="L7" s="9" t="inlineStr">
        <is>
          <t>Hi Marius and Gunn,
I'm Joel, I run Always Up. My first email bounced from your youth committee address, so I'm writing to you directly.
We take youth teams to Spain for a week of training at Atlético de Madrid and Real Sociedad facilities, with matches against local academy sides and accommodation and meals all sorted.
I saw Søreide was down for the Costa Daurada Cup this summer, so Spain may already be on your radar. One of our partner clubs in Ireland won their first ever league title after a few years with us.
Would you be up for a quick call next week? Or I can send a short overview first if that's easier.
Best,
Joel Martinez
Founder, Always Up
joel.martinez@alwaysup.es | +1 (814) 329 1929 | alwaysup.es</t>
        </is>
      </c>
      <c r="M7" s="10" t="n">
        <v>46308</v>
      </c>
      <c r="N7" s="10" t="n">
        <v>46308</v>
      </c>
      <c r="O7" s="9" t="inlineStr">
        <is>
          <t>13/10/2026: el email 1 REBOTÓ (ungdomsutvalget@soreideil.no reenvía a una cuenta inexistente en bergensskolen.com). Contactos reales en soreideil.no/fotball/kontaktinformasjon. Reenvío el 14/10 a fotball@soreideil.no.</t>
        </is>
      </c>
      <c r="P7" s="9" t="inlineStr">
        <is>
          <t>1er email: NADA adjunto, solo texto (firma de texto plano). Si responde con interés: ficha Always-Up-Team-Experience.pdf. Antes de la llamada: deck de empresa (pendiente de crear), solo si hace falta. Tras la llamada: propuesta escrita.</t>
        </is>
      </c>
    </row>
    <row r="8" ht="18" customHeight="1" s="52">
      <c r="A8" s="4" t="inlineStr">
        <is>
          <t>Maidstone United (Girls Development Centre)</t>
        </is>
      </c>
      <c r="B8" s="4" t="inlineStr">
        <is>
          <t>Reino Unido</t>
        </is>
      </c>
      <c r="C8" s="4" t="inlineStr">
        <is>
          <t>Sin confirmar</t>
        </is>
      </c>
      <c r="D8" s="9" t="inlineStr">
        <is>
          <t>Participante confirmado Costa Daurada Cup 2026</t>
        </is>
      </c>
      <c r="E8" s="4" t="inlineStr">
        <is>
          <t>costadauradacup.com</t>
        </is>
      </c>
      <c r="F8" s="9" t="inlineStr">
        <is>
          <t>Sin nombre confirmado</t>
        </is>
      </c>
      <c r="G8" s="4" t="inlineStr">
        <is>
          <t>info@maidstoneunited.co.uk</t>
        </is>
      </c>
      <c r="H8" s="4" t="inlineStr">
        <is>
          <t>078 3585 4704</t>
        </is>
      </c>
      <c r="I8" s="4" t="inlineStr">
        <is>
          <t>Listo para enviar</t>
        </is>
      </c>
      <c r="J8" s="9" t="inlineStr">
        <is>
          <t>Enviar el 15/10/2026 a las 07:30 hora Nueva York. Textos en la hoja 'Textos para copiar'.</t>
        </is>
      </c>
      <c r="K8" s="9" t="inlineStr">
        <is>
          <t>A question about the Girls Development Centre</t>
        </is>
      </c>
      <c r="L8" s="9" t="inlineStr">
        <is>
          <t>Hi team,
I'm Joel, I run Always Up. We take youth teams to Spain for a week of training at Atlético de Madrid and Real Sociedad facilities, with matches against local academy sides, a stadium tour, and accommodation and meals all sorted.
I saw Maidstone United was down for the Costa Daurada Cup this summer and thought your Girls Development Centre could be a great fit. Could you point me to the right person to talk to about trips for the girls teams?
One of our partner clubs in Ireland won their first ever league title after a few years with us, so I'd be glad to share how it went for them.
Thanks a lot,
Joel Martinez
Founder, Always Up
joel.martinez@alwaysup.es | +1 (814) 329 1929 | alwaysup.es</t>
        </is>
      </c>
      <c r="M8" s="10" t="n"/>
      <c r="N8" s="10" t="n"/>
      <c r="O8" s="9" t="inlineStr">
        <is>
          <t>Llamar o contactar vía redes sociales del club para conseguir email directo</t>
        </is>
      </c>
      <c r="P8" s="9" t="inlineStr">
        <is>
          <t>1er email: NADA adjunto, solo texto (firma de texto plano). Si responde con interés: ficha Always-Up-Team-Experience.pdf. Antes de la llamada: deck de empresa (pendiente de crear), solo si hace falta. Tras la llamada: propuesta escrita.</t>
        </is>
      </c>
    </row>
    <row r="9" ht="18" customHeight="1" s="52">
      <c r="A9" s="4" t="inlineStr">
        <is>
          <t>Whitehaven AFC (Juniors Girls U13-U15)</t>
        </is>
      </c>
      <c r="B9" s="4" t="inlineStr">
        <is>
          <t>Reino Unido</t>
        </is>
      </c>
      <c r="C9" s="4" t="inlineStr">
        <is>
          <t>U13-U15 chicas</t>
        </is>
      </c>
      <c r="D9" s="9" t="inlineStr">
        <is>
          <t>Participante confirmado Costa Daurada Cup 2026 + tiene estructura de chicas U13/U14/U15 activa (The FA Full-Time)</t>
        </is>
      </c>
      <c r="E9" s="4" t="inlineStr">
        <is>
          <t>costadauradacup.com / fulltime.thefa.com</t>
        </is>
      </c>
      <c r="F9" s="9" t="inlineStr">
        <is>
          <t>Luke Johnston (Chairman)</t>
        </is>
      </c>
      <c r="G9" s="4" t="inlineStr">
        <is>
          <t>Luke.johnston@whitehavenafc.com</t>
        </is>
      </c>
      <c r="H9" s="4" t="n"/>
      <c r="I9" s="4" t="inlineStr">
        <is>
          <t>Listo para enviar</t>
        </is>
      </c>
      <c r="J9" s="9" t="inlineStr">
        <is>
          <t>Enviar el 15/10/2026 a las 07:30 hora Nueva York. Textos en la hoja 'Textos para copiar'.</t>
        </is>
      </c>
      <c r="K9" s="9" t="inlineStr">
        <is>
          <t>A week in Spain for Whitehaven's girls teams</t>
        </is>
      </c>
      <c r="L9" s="9" t="inlineStr">
        <is>
          <t>Hi Luke,
I'm Joel, I run Always Up. We take youth teams to Spain for a week of training at Atlético de Madrid and Real Sociedad facilities, with matches against local academy sides, a stadium tour, and accommodation and meals all sorted.
I saw Whitehaven was down for the Costa Daurada Cup this summer, and that the club has girls teams from under 9 up to under 16, so I thought this could be a good fit.
Would you be up for a quick call next week, or would you like a short overview first? And if you're not the right person, could you point me to whoever organises trips for the girls section?
Best,
Joel Martinez
Founder, Always Up
joel.martinez@alwaysup.es | +1 (814) 329 1929 | alwaysup.es</t>
        </is>
      </c>
      <c r="M9" s="10" t="n"/>
      <c r="N9" s="10" t="n"/>
      <c r="O9" s="9" t="inlineStr">
        <is>
          <t>Email de Luke Johnston (presidente) sacado de buscadores; la web no lo muestra. Si rebota: Facebook o teléfono +44 1946 692211.</t>
        </is>
      </c>
      <c r="P9" s="9" t="inlineStr">
        <is>
          <t>1er email: NADA adjunto, solo texto (firma de texto plano). Si responde con interés: ficha Always-Up-Team-Experience.pdf. Antes de la llamada: deck de empresa (pendiente de crear), solo si hace falta. Tras la llamada: propuesta escrita.</t>
        </is>
      </c>
    </row>
    <row r="10" ht="18" customHeight="1" s="52">
      <c r="A10" s="4" t="inlineStr">
        <is>
          <t>Lower Ormond</t>
        </is>
      </c>
      <c r="B10" s="4" t="inlineStr">
        <is>
          <t>Reino Unido (sin confirmar)</t>
        </is>
      </c>
      <c r="C10" s="4" t="inlineStr">
        <is>
          <t>Sin confirmar</t>
        </is>
      </c>
      <c r="D10" s="9" t="inlineStr">
        <is>
          <t>Aparecía como participante Costa Daurada Cup 2026 en el research original de julio</t>
        </is>
      </c>
      <c r="E10" s="4" t="inlineStr">
        <is>
          <t>costadauradacup.com</t>
        </is>
      </c>
      <c r="F10" s="9" t="n"/>
      <c r="G10" s="4" t="n"/>
      <c r="H10" s="4" t="n"/>
      <c r="I10" s="4" t="inlineStr">
        <is>
          <t>Sin identificar con certeza</t>
        </is>
      </c>
      <c r="J10" s="9" t="inlineStr">
        <is>
          <t>Verificar directamente en costadauradacup.com — la búsqueda de hoy solo encontró clubes de Ormond en Australia (deporte distinto, AFL), no coincide</t>
        </is>
      </c>
      <c r="K10" s="9" t="n"/>
      <c r="L10" s="9" t="n"/>
      <c r="M10" s="10" t="n"/>
      <c r="N10" s="10" t="n"/>
      <c r="O10" s="9" t="inlineStr">
        <is>
          <t>Investigado 2026-08-29: posible error de nombre en el research original — no gastar más tiempo hasta verificar en la fuente original | 13/10/2026: costadauradacup.com lo lista como club de Inglaterra en la edición de Semana Santa 2026. Existe: falta encontrar su contacto. | 13/10/2026: aparece como club de Inglaterra en la edición de Semana Santa de la Costa Daurada Cup. No encuentro contacto fiable. | 13/10/2026: aparece como club de Inglaterra en la edición de Semana Santa de la Costa Daurada Cup. No encuentro contacto fiable. | 13/10/2026: aparece como club de Inglaterra en la edición de Semana Santa de la Costa Daurada Cup. No encuentro contacto fiable. | 13/10/2026: aparece como club de Inglaterra en la edición de Semana Santa de la Costa Daurada Cup. No encuentro contacto fiable. | 13/10/2026: aparece como club de Inglaterra en la edición de Semana Santa de la Costa Daurada Cup. No encuentro contacto fiable. | 13/10/2026: aparece como club de Inglaterra en la edición de Semana Santa de la Costa Daurada Cup. No encuentro contacto fiable.</t>
        </is>
      </c>
      <c r="P10" s="9" t="inlineStr">
        <is>
          <t>1er email: NADA adjunto, solo texto (firma de texto plano). Si responde con interés: ficha Always-Up-Team-Experience.pdf. Antes de la llamada: deck de empresa (pendiente de crear), solo si hace falta. Tras la llamada: propuesta escrita.</t>
        </is>
      </c>
    </row>
    <row r="11" ht="18" customHeight="1" s="52">
      <c r="A11" s="4" t="inlineStr">
        <is>
          <t>Holbeach United</t>
        </is>
      </c>
      <c r="B11" s="4" t="inlineStr">
        <is>
          <t>Reino Unido</t>
        </is>
      </c>
      <c r="C11" s="4" t="inlineStr">
        <is>
          <t>Estructura U7-U14+</t>
        </is>
      </c>
      <c r="D11" s="9" t="inlineStr">
        <is>
          <t>Participante confirmado Costa Daurada Cup 2026 + club con estructura juvenil real y activa</t>
        </is>
      </c>
      <c r="E11" s="4" t="inlineStr">
        <is>
          <t>costadauradacup.com / holbeachunitedcsa.org.uk</t>
        </is>
      </c>
      <c r="F11" s="9" t="inlineStr">
        <is>
          <t>Callum Lawe (Vice Chairman, Football &amp; Education Academy)</t>
        </is>
      </c>
      <c r="G11" s="4" t="inlineStr">
        <is>
          <t>callum@holbeachunitedacademy.com</t>
        </is>
      </c>
      <c r="H11" s="4" t="inlineStr">
        <is>
          <t>07801 049254</t>
        </is>
      </c>
      <c r="I11" s="4" t="inlineStr">
        <is>
          <t>Listo para enviar</t>
        </is>
      </c>
      <c r="J11" s="9" t="inlineStr">
        <is>
          <t>Enviar el 14/10/2026 a las 07:30 hora Nueva York. Textos en la hoja 'Textos para copiar'.</t>
        </is>
      </c>
      <c r="K11" s="9" t="inlineStr">
        <is>
          <t>A week in Spain for Holbeach's academy squads</t>
        </is>
      </c>
      <c r="L11" s="9" t="inlineStr">
        <is>
          <t>Hi Callum,
I'm Joel, I run Always Up. We take youth teams to Spain for a week of training at Atlético de Madrid and Real Sociedad facilities, with matches against local academy sides, a stadium tour, and accommodation and meals all sorted.
I saw Holbeach was down for the Costa Daurada Cup this year, and your Football &amp; Education Academy made me think a week like this could suit your older squads.
One of our partner clubs in Ireland won their first ever league title after a few years of coming out with us, and their coaches said the trip helped.
Would you be up for a quick call next week? If you'd rather see the details first, I'm happy to send a short overview.
Best,
Joel Martinez
Founder, Always Up
joel.martinez@alwaysup.es | +1 (814) 329 1929 | alwaysup.es</t>
        </is>
      </c>
      <c r="M11" s="10" t="n"/>
      <c r="N11" s="10" t="n"/>
      <c r="O11" s="9" t="inlineStr">
        <is>
          <t>Investigado 2026-08-29: contacto general real, falta nombre de decisor | Posible duplicado: 13/10 18:50, 14/10 04:41 y 14/10 ~08:30 (el último no localizado). No pedir disculpas salvo que lo mencionen.</t>
        </is>
      </c>
      <c r="P11" s="9" t="inlineStr">
        <is>
          <t>1er email: NADA adjunto, solo texto (firma de texto plano). Si responde con interés: ficha Always-Up-Team-Experience.pdf. Antes de la llamada: deck de empresa (pendiente de crear), solo si hace falta. Tras la llamada: propuesta escrita.</t>
        </is>
      </c>
    </row>
    <row r="12" ht="60" customHeight="1" s="52">
      <c r="A12" s="4" t="inlineStr">
        <is>
          <t>Hastings United (Girls Academy)</t>
        </is>
      </c>
      <c r="B12" s="4" t="inlineStr">
        <is>
          <t>Reino Unido</t>
        </is>
      </c>
      <c r="C12" s="4" t="inlineStr">
        <is>
          <t>Academia — chicas</t>
        </is>
      </c>
      <c r="D12" s="9" t="inlineStr">
        <is>
          <t>Participante confirmado Costa Daurada Cup 2026 + academia estructurada con Head of Girls Academy identificada</t>
        </is>
      </c>
      <c r="E12" s="4" t="inlineStr">
        <is>
          <t>costadauradacup.com / academy.hastingsunited.com</t>
        </is>
      </c>
      <c r="F12" s="9" t="inlineStr">
        <is>
          <t>Georgia Townsend (Head of Girls Academy)</t>
        </is>
      </c>
      <c r="G12" s="4" t="inlineStr">
        <is>
          <t>georgia.townsend@hastingsunited.com</t>
        </is>
      </c>
      <c r="H12" s="4" t="n"/>
      <c r="I12" s="4" t="inlineStr">
        <is>
          <t>Enviado</t>
        </is>
      </c>
      <c r="J12" s="9" t="inlineStr">
        <is>
          <t>Follow-up 1 el 20/10/2026 en el mismo hilo (enviar a las 07:30 hora Nueva York). Textos en la hoja 'Textos para copiar'.</t>
        </is>
      </c>
      <c r="K12" s="9" t="inlineStr">
        <is>
          <t>Bringing Hastings United's Girls Academy to train with LaLiga clubs in Spain</t>
        </is>
      </c>
      <c r="L12" s="9" t="inlineStr">
        <is>
          <t>Hi Georgia,
I'm Joel, founder of Always Up — we create football experiences in Spain for international youth clubs, including training connected with Atletico de Madrid and Real Sociedad.
I saw Hastings United is a confirmed participant in the Costa Daurada Cup 2026 and thought this could be a great fit for your Girls Academy.
One of our longtime partner clubs credited their first-ever league title partly to their Atletico de Madrid experience with us — and with Spain now World Cup Champions, interest in trips like this is only growing.
Would you have 15 minutes this week to hear more?
Best,
Joel</t>
        </is>
      </c>
      <c r="M12" s="10" t="n">
        <v>46308</v>
      </c>
      <c r="N12" s="10" t="n">
        <v>46308</v>
      </c>
      <c r="O12" s="9" t="inlineStr">
        <is>
          <t>Investigado 2026-08-29: el mejor de los 4 investigados hoy — decisor nombrado y academia real | Enviado 13/10/2026 a las 15:33 (hora de Nueva York) desde joel.martinez@alwaysup.es, solo texto, sin firma ni adjuntos</t>
        </is>
      </c>
      <c r="P12" s="9" t="inlineStr">
        <is>
          <t>1er email: NADA adjunto, solo texto (firma de texto plano). Si responde con interés: ficha Always-Up-Team-Experience.pdf. Antes de la llamada: deck de empresa (pendiente de crear), solo si hace falta. Tras la llamada: propuesta escrita.</t>
        </is>
      </c>
    </row>
    <row r="13" ht="18" customHeight="1" s="52">
      <c r="A13" s="4" t="inlineStr">
        <is>
          <t>Morecambe Hawks</t>
        </is>
      </c>
      <c r="B13" s="4" t="inlineStr">
        <is>
          <t>Reino Unido (verificar)</t>
        </is>
      </c>
      <c r="C13" s="4" t="inlineStr">
        <is>
          <t>Sin confirmar</t>
        </is>
      </c>
      <c r="D13" s="9" t="inlineStr">
        <is>
          <t>Aparecía como participante Costa Daurada Cup 2026 en el research original de julio</t>
        </is>
      </c>
      <c r="E13" s="4" t="inlineStr">
        <is>
          <t>costadauradacup.com</t>
        </is>
      </c>
      <c r="F13" s="9" t="n"/>
      <c r="G13" s="4" t="inlineStr">
        <is>
          <t>office@morecambefc.com (club matriz, sin confirmar relación)</t>
        </is>
      </c>
      <c r="H13" s="4" t="n"/>
      <c r="I13" s="4" t="inlineStr">
        <is>
          <t>Verificar antes de contactar</t>
        </is>
      </c>
      <c r="J13" s="9" t="inlineStr">
        <is>
          <t>La búsqueda de hoy solo encontró 'Morecambe Hawks United MHU', equipo de liga local pequeña — verificar si es el mismo club antes de escribir, puede ser coincidencia de nombre</t>
        </is>
      </c>
      <c r="K13" s="9" t="n"/>
      <c r="L13" s="9" t="n"/>
      <c r="M13" s="10" t="n"/>
      <c r="N13" s="10" t="n"/>
      <c r="O13" s="9" t="inlineStr">
        <is>
          <t>13/10/2026: solo equipo local pequeño de liga amateur. Descartado.</t>
        </is>
      </c>
      <c r="P13" s="9" t="inlineStr">
        <is>
          <t>1er email: NADA adjunto, solo texto (firma de texto plano). Si responde con interés: ficha Always-Up-Team-Experience.pdf. Antes de la llamada: deck de empresa (pendiente de crear), solo si hace falta. Tras la llamada: propuesta escrita.</t>
        </is>
      </c>
    </row>
    <row r="14" ht="18" customHeight="1" s="52">
      <c r="A14" s="4" t="inlineStr">
        <is>
          <t>IA Akranes</t>
        </is>
      </c>
      <c r="B14" s="4" t="inlineStr">
        <is>
          <t>Islandia</t>
        </is>
      </c>
      <c r="C14" s="4" t="inlineStr">
        <is>
          <t>Sin confirmar</t>
        </is>
      </c>
      <c r="D14" s="9" t="inlineStr">
        <is>
          <t>Participante confirmado Costa Daurada Cup 2026</t>
        </is>
      </c>
      <c r="E14" s="4" t="inlineStr">
        <is>
          <t>costadauradacup.com</t>
        </is>
      </c>
      <c r="F14" s="9" t="n"/>
      <c r="G14" s="4" t="inlineStr">
        <is>
          <t>kfia@ia.is</t>
        </is>
      </c>
      <c r="H14" s="4" t="n"/>
      <c r="I14" s="4" t="inlineStr">
        <is>
          <t>Listo para enviar</t>
        </is>
      </c>
      <c r="J14" s="9" t="inlineStr">
        <is>
          <t>Enviar el 15/10/2026 a las 07:30 hora Nueva York. Textos en la hoja 'Textos para copiar'.</t>
        </is>
      </c>
      <c r="K14" s="9" t="inlineStr">
        <is>
          <t>A question about youth trips to Spain</t>
        </is>
      </c>
      <c r="L14" s="9" t="inlineStr">
        <is>
          <t>Hi ÍA team,
I'm Joel, I run Always Up. We take youth teams to Spain for a week of training at Atlético de Madrid and Real Sociedad facilities, with matches against local academy sides, a stadium tour, and accommodation and meals all sorted.
I saw ÍA Akranes was down for the Costa Daurada Cup this year. Could you point me to the person who looks after trips abroad for your youth teams?
One of our partner clubs in Ireland won their first ever league title after a few years with us, so I'd be glad to share how it went for them.
Thanks a lot,
Joel Martinez
Founder, Always Up
joel.martinez@alwaysup.es | +1 (814) 329 1929 | alwaysup.es</t>
        </is>
      </c>
      <c r="M14" s="10" t="n"/>
      <c r="N14" s="10" t="n"/>
      <c r="O14" s="9" t="n"/>
      <c r="P14" s="9" t="inlineStr">
        <is>
          <t>1er email: NADA adjunto, solo texto (firma de texto plano). Si responde con interés: ficha Always-Up-Team-Experience.pdf. Antes de la llamada: deck de empresa (pendiente de crear), solo si hace falta. Tras la llamada: propuesta escrita.</t>
        </is>
      </c>
    </row>
    <row r="15" ht="18" customHeight="1" s="52">
      <c r="A15" s="4" t="inlineStr">
        <is>
          <t>Excelsior Rotterdam</t>
        </is>
      </c>
      <c r="B15" s="4" t="inlineStr">
        <is>
          <t>Países Bajos</t>
        </is>
      </c>
      <c r="C15" s="4" t="inlineStr">
        <is>
          <t>Sin confirmar</t>
        </is>
      </c>
      <c r="D15" s="9" t="inlineStr">
        <is>
          <t>Participante confirmado Costa Daurada Cup 2026</t>
        </is>
      </c>
      <c r="E15" s="4" t="inlineStr">
        <is>
          <t>costadauradacup.com</t>
        </is>
      </c>
      <c r="F15" s="9" t="n"/>
      <c r="G15" s="4" t="n"/>
      <c r="H15" s="4" t="n"/>
      <c r="I15" s="4" t="inlineStr">
        <is>
          <t>Pendiente investigar</t>
        </is>
      </c>
      <c r="J15" s="9" t="inlineStr">
        <is>
          <t>Investigar contacto (parte de la cuota diaria de 5 búsquedas)</t>
        </is>
      </c>
      <c r="K15" s="9" t="n"/>
      <c r="L15" s="9" t="n"/>
      <c r="M15" s="10" t="n"/>
      <c r="N15" s="10" t="n"/>
      <c r="O15" s="9" t="inlineStr">
        <is>
          <t>13/10/2026: club profesional con academia. Perfil distinto, prioridad baja.</t>
        </is>
      </c>
      <c r="P15" s="9" t="inlineStr">
        <is>
          <t>1er email: NADA adjunto, solo texto (firma de texto plano). Si responde con interés: ficha Always-Up-Team-Experience.pdf. Antes de la llamada: deck de empresa (pendiente de crear), solo si hace falta. Tras la llamada: propuesta escrita.</t>
        </is>
      </c>
    </row>
    <row r="16" ht="18" customHeight="1" s="52">
      <c r="A16" s="4" t="inlineStr">
        <is>
          <t>Deportivo de la Coruña</t>
        </is>
      </c>
      <c r="B16" s="4" t="inlineStr">
        <is>
          <t>España</t>
        </is>
      </c>
      <c r="C16" s="4" t="inlineStr">
        <is>
          <t>Anfitrión, no viajero</t>
        </is>
      </c>
      <c r="D16" s="9" t="inlineStr">
        <is>
          <t>Posible nuevo club anfitrión — ya en conversación</t>
        </is>
      </c>
      <c r="E16" s="4" t="inlineStr">
        <is>
          <t>CLAUDE.md / Joel</t>
        </is>
      </c>
      <c r="F16" s="9" t="n"/>
      <c r="G16" s="4" t="n"/>
      <c r="H16" s="4" t="n"/>
      <c r="I16" s="4" t="inlineStr">
        <is>
          <t>En negociación</t>
        </is>
      </c>
      <c r="J16" s="9" t="inlineStr">
        <is>
          <t>Ver 01-clients/pipeline.md para el estado real</t>
        </is>
      </c>
      <c r="K16" s="9" t="n"/>
      <c r="L16" s="9" t="n"/>
      <c r="M16" s="10" t="n"/>
      <c r="N16" s="10" t="n"/>
      <c r="O16" s="9" t="inlineStr">
        <is>
          <t>Ver 01-clients/pipeline.md — no duplicar seguimiento aquí, solo referencia</t>
        </is>
      </c>
      <c r="P16" s="9" t="inlineStr">
        <is>
          <t>Seguimiento ya en marcha fuera del flujo de outreach: sin adjuntos nuevos.</t>
        </is>
      </c>
    </row>
    <row r="17" ht="90" customHeight="1" s="52">
      <c r="A17" s="4" t="inlineStr">
        <is>
          <t>Leonardo Uren / equipo (Brasil) — posible partner, no solo cliente</t>
        </is>
      </c>
      <c r="B17" s="4" t="inlineStr">
        <is>
          <t>Brasil</t>
        </is>
      </c>
      <c r="C17" s="4" t="inlineStr">
        <is>
          <t>N/A — colaboración institucional, no un grupo de jugadores</t>
        </is>
      </c>
      <c r="D17" s="9" t="inlineStr">
        <is>
          <t>Conversación real ya avanzada abril-julio 2026: exploraron modelo de colaboración Brasil-España (jugadores/equipos en ambas direcciones), con el padre de Joel involucrado. Se enfrió tras propuesta de llamada el 03/07/2026 sin respuesta</t>
        </is>
      </c>
      <c r="E17" s="4" t="inlineStr">
        <is>
          <t>Contacto personal de Joel</t>
        </is>
      </c>
      <c r="F17" s="9" t="inlineStr">
        <is>
          <t>Leonardo Uren</t>
        </is>
      </c>
      <c r="G17" s="4" t="inlineStr">
        <is>
          <t>Sin email — conversación por WhatsApp</t>
        </is>
      </c>
      <c r="H17" s="4" t="n"/>
      <c r="I17" s="4" t="inlineStr">
        <is>
          <t>Perdido</t>
        </is>
      </c>
      <c r="J17" s="9" t="inlineStr">
        <is>
          <t>Decisión de Joel (13/10/2026): no insistir. Reabrir solo si él escribe.</t>
        </is>
      </c>
      <c r="K17" s="9" t="inlineStr">
        <is>
          <t>N/A — mensaje de WhatsApp, no email</t>
        </is>
      </c>
      <c r="L17" s="11" t="inlineStr">
        <is>
          <t>Hi Leonardo! Hope you and the team are doing well.
It's been a while since we last spoke, and a lot has happened on our side too. We've been growing our international work, and with Spain being World Cup champions there's a lot more interest from clubs and academies in connecting with Spanish football, so it felt like a good moment to pick this back up.
I still think there's real potential in a Brazil and Spain connection, with players and teams coming to train in Spain and maybe the other way around too. Would you be up for reopening the conversation? My dad would join again as well. It doesn't need to be tied to a specific trip this time. Even 20 or 30 minutes whenever suits you would be great.
Let me know!</t>
        </is>
      </c>
      <c r="M17" s="10" t="n"/>
      <c r="N17" s="10" t="n">
        <v>46206</v>
      </c>
      <c r="O17" s="9" t="inlineStr">
        <is>
          <t>Historial real: llamada en abril 2026, Leonardo mandó una presentación (enfocada en becas EEUU, poco encaje con lo que ya cubre el partner de becas), Joel propuso el ángulo real (intercambio Brasil-España de jugadores/equipos), propuso llamada con el padre para junio, luego siguió el 03/07 proponiendo martes — sin respuesta desde entonces (2+ meses). No confundir con un club prospecto normal de Segmento A — esto es más una posible relación de partner/distribución que una venta directa. | 13/10/2026: Joel decide no reactivar: varios intentos y las dos últimas sin respuesta. | 13/10/2026: Joel decide no reactivar: varios intentos y las dos últimas sin respuesta. | 13/10/2026: Joel decide no reactivar: varios intentos y las dos últimas sin respuesta. | 13/10/2026: Joel decide no reactivar: varios intentos y las dos últimas sin respuesta.</t>
        </is>
      </c>
      <c r="P17" s="9" t="inlineStr">
        <is>
          <t>Es un posible partner, no una venta estándar: sin adjuntos. Mensaje de WhatsApp y proponer llamada; llevar a la llamada ficha Team Experience + Campus Internacional (pendiente) si derivan a servicios.</t>
        </is>
      </c>
    </row>
    <row r="18" ht="293" customHeight="1" s="52">
      <c r="A18" s="4" t="inlineStr">
        <is>
          <t>Virtu Academy</t>
        </is>
      </c>
      <c r="B18" s="4" t="inlineStr">
        <is>
          <t>Reino Unido (Reading)</t>
        </is>
      </c>
      <c r="C18" s="4" t="inlineStr">
        <is>
          <t>Academia 5 a 16 años</t>
        </is>
      </c>
      <c r="D18" s="9" t="inlineStr">
        <is>
          <t>En la lista de la Costa Daurada Cup (edición de Semana Santa 2026)</t>
        </is>
      </c>
      <c r="E18" s="4" t="inlineStr">
        <is>
          <t>costadauradacup.com / virtuacademy.co.uk</t>
        </is>
      </c>
      <c r="F18" s="9" t="inlineStr">
        <is>
          <t>Mohammed Ayoub (director, según directorio; sin confirmar)</t>
        </is>
      </c>
      <c r="G18" s="4" t="inlineStr">
        <is>
          <t>info@virtuacademy.co.uk</t>
        </is>
      </c>
      <c r="H18" s="4" t="n"/>
      <c r="I18" s="4" t="inlineStr">
        <is>
          <t>Listo para enviar</t>
        </is>
      </c>
      <c r="J18" s="9" t="inlineStr">
        <is>
          <t>Enviar el 20/10/2026 a las 07:30 hora Nueva York. Textos en la hoja 'Textos para copiar'.</t>
        </is>
      </c>
      <c r="K18" s="9" t="inlineStr">
        <is>
          <t>A question about trips to Spain for Virtu</t>
        </is>
      </c>
      <c r="L18" s="9" t="inlineStr">
        <is>
          <t>Hi team,
I'm Joel, I run Always Up. We take youth teams to Spain for a week of training at Atlético de Madrid and Real Sociedad facilities, with matches against local academy sides, a stadium tour, and accommodation and meals all sorted.
I saw Virtu Academy was down for the Costa Daurada Cup this year. Could you point me to the person who organises trips abroad for your teams?
One of our partner clubs in Ireland won their first ever league title after a few years with us, so I'd be glad to share how it went for them.
Thanks a lot,
Joel Martinez
Founder, Always Up
joel.martinez@alwaysup.es | +1 (814) 329 1929 | alwaysup.es</t>
        </is>
      </c>
      <c r="M18" s="4" t="n"/>
      <c r="N18" s="4" t="n"/>
      <c r="O18" s="9" t="n"/>
      <c r="P18" s="9" t="inlineStr">
        <is>
          <t>1er email: nada adjunto, solo texto con firma. Si pide información: deck de empresa + ficha Team Experience. Tras la llamada: propuesta escrita.</t>
        </is>
      </c>
    </row>
    <row r="19" ht="332" customHeight="1" s="52">
      <c r="A19" s="4" t="inlineStr">
        <is>
          <t>FC Porte d'Aquitaine</t>
        </is>
      </c>
      <c r="B19" s="4" t="inlineStr">
        <is>
          <t>Francia</t>
        </is>
      </c>
      <c r="C19" s="4" t="inlineStr">
        <is>
          <t>U15 y U17</t>
        </is>
      </c>
      <c r="D19" s="9" t="inlineStr">
        <is>
          <t>En la lista de la Costa Daurada Cup (edición de verano 2026)</t>
        </is>
      </c>
      <c r="E19" s="4" t="inlineStr">
        <is>
          <t>costadauradacup.com / fff.fr</t>
        </is>
      </c>
      <c r="F19" s="9" t="inlineStr">
        <is>
          <t>Mathieu Bachowski (responsable technique jeunes)</t>
        </is>
      </c>
      <c r="G19" s="4" t="inlineStr">
        <is>
          <t>math.bachowski.mb@gmail.com</t>
        </is>
      </c>
      <c r="H19" s="4" t="n"/>
      <c r="I19" s="4" t="inlineStr">
        <is>
          <t>Listo para enviar</t>
        </is>
      </c>
      <c r="J19" s="9" t="inlineStr">
        <is>
          <t>Enviar el 20/10/2026 a las 07:30 hora Nueva York. Textos en la hoja 'Textos para copiar'.</t>
        </is>
      </c>
      <c r="K19" s="9" t="inlineStr">
        <is>
          <t>Une semaine en Espagne pour les jeunes du FC Porte d'Aquitaine</t>
        </is>
      </c>
      <c r="L19" s="9" t="inlineStr">
        <is>
          <t>Bonjour Mathieu,
Je m'appelle Joel et je dirige Always Up. Nous emmenons des équipes de jeunes en Espagne pour une semaine d'entraînement dans les installations de l'Atlético de Madrid et de la Real Sociedad, avec des matchs contre des équipes de centres de formation locaux, la visite d'un stade, l'hébergement et les repas.
J'ai vu que le FC Porte d'Aquitaine était inscrit à la Costa Daurada Cup cet été, et je me suis dit que cela pourrait intéresser vos U15 ou U17. Un de nos clubs partenaires en Irlande a remporté son premier titre de champion après quelques années avec nous.
Auriez-vous quelques minutes pour un appel la semaine prochaine ? Sinon, je peux d'abord vous envoyer une courte présentation.
Cordialement,
Joel Martinez
Founder, Always Up
joel.martinez@alwaysup.es | +1 (814) 329 1929 | alwaysup.es</t>
        </is>
      </c>
      <c r="M19" s="4" t="n"/>
      <c r="N19" s="4" t="n"/>
      <c r="O19" s="9" t="n"/>
      <c r="P19" s="9" t="inlineStr">
        <is>
          <t>1er email: nada adjunto, solo texto con firma. Si pide información: deck de empresa + ficha Team Experience. Tras la llamada: propuesta escrita.</t>
        </is>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sheetData>
  <autoFilter ref="A5:P17"/>
  <mergeCells count="3">
    <mergeCell ref="A3:O4"/>
    <mergeCell ref="A1:O1"/>
    <mergeCell ref="A2:O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pane ySplit="5" topLeftCell="A6" activePane="bottomLeft" state="frozen"/>
      <selection pane="bottomLeft" activeCell="A1" sqref="A1"/>
    </sheetView>
  </sheetViews>
  <sheetFormatPr baseColWidth="10" defaultColWidth="8.83203125" defaultRowHeight="15"/>
  <cols>
    <col width="30" customWidth="1" style="52" min="1" max="1"/>
    <col width="18" customWidth="1" style="52" min="2" max="3"/>
    <col width="34" customWidth="1" style="52" min="4" max="4"/>
    <col width="20" customWidth="1" style="52" min="5" max="5"/>
    <col width="18" customWidth="1" style="52" min="6" max="7"/>
    <col width="26" customWidth="1" style="52" min="8" max="8"/>
    <col width="28" customWidth="1" style="52" min="9" max="9"/>
    <col width="26" customWidth="1" style="52" min="10" max="10"/>
    <col width="40" customWidth="1" style="52" min="11" max="11"/>
    <col width="12" customWidth="1" style="52" min="12" max="12"/>
    <col width="14" customWidth="1" style="52" min="13" max="13"/>
    <col width="36" customWidth="1" style="52" min="14" max="14"/>
    <col width="55" customWidth="1" style="52" min="15" max="15"/>
  </cols>
  <sheetData>
    <row r="1" ht="18" customHeight="1" s="52">
      <c r="A1" s="55" t="inlineStr">
        <is>
          <t>Segmento B — Universidades y clubes de América</t>
        </is>
      </c>
    </row>
    <row r="2">
      <c r="A2" s="56" t="inlineStr">
        <is>
          <t>NCAA + clubes/academias EEUU. Incluye fútbol femenino universitario (segmento en crecimiento, menos competido).</t>
        </is>
      </c>
    </row>
    <row r="3" ht="60" customHeight="1" s="52">
      <c r="A3" s="58" t="inlineStr">
        <is>
          <t>PRIORIDAD SECUNDARIA — ver plan-ventas-maestro.md sección 3. Mercado ya servido por competidores establecidos (Alandis Travel + Sevilla FC, WorldStrides...) y con ciclos de decisión institucionales largos. No forzar volumen aquí hasta tener 2-3 conversaciones reales avanzando en Segmento A.</t>
        </is>
      </c>
    </row>
    <row r="4"/>
    <row r="5" ht="28" customHeight="1" s="52">
      <c r="A5" s="3" t="inlineStr">
        <is>
          <t>Programa/Club</t>
        </is>
      </c>
      <c r="B5" s="3" t="inlineStr">
        <is>
          <t>País/Estado</t>
        </is>
      </c>
      <c r="C5" s="3" t="inlineStr">
        <is>
          <t>Nivel</t>
        </is>
      </c>
      <c r="D5" s="3" t="inlineStr">
        <is>
          <t>Motivo de interés</t>
        </is>
      </c>
      <c r="E5" s="3" t="inlineStr">
        <is>
          <t>Fuente</t>
        </is>
      </c>
      <c r="F5" s="3" t="inlineStr">
        <is>
          <t>Contacto</t>
        </is>
      </c>
      <c r="G5" s="3" t="inlineStr">
        <is>
          <t>Email</t>
        </is>
      </c>
      <c r="H5" s="3" t="inlineStr">
        <is>
          <t>Estado</t>
        </is>
      </c>
      <c r="I5" s="3" t="inlineStr">
        <is>
          <t>Próxima acción</t>
        </is>
      </c>
      <c r="J5" s="3" t="inlineStr">
        <is>
          <t>Asunto email</t>
        </is>
      </c>
      <c r="K5" s="3" t="inlineStr">
        <is>
          <t>Cuerpo email</t>
        </is>
      </c>
      <c r="L5" s="3" t="inlineStr">
        <is>
          <t>Fecha envío</t>
        </is>
      </c>
      <c r="M5" s="3" t="inlineStr">
        <is>
          <t>Fecha último contacto</t>
        </is>
      </c>
      <c r="N5" s="3" t="inlineStr">
        <is>
          <t>Notas</t>
        </is>
      </c>
      <c r="O5" s="12" t="inlineStr">
        <is>
          <t>Qué adjuntar (por etapa)</t>
        </is>
      </c>
    </row>
    <row r="6" ht="56" customHeight="1" s="52">
      <c r="A6" s="4" t="inlineStr">
        <is>
          <t>ODP Louisiana</t>
        </is>
      </c>
      <c r="B6" s="4" t="inlineStr">
        <is>
          <t>Louisiana, EEUU</t>
        </is>
      </c>
      <c r="C6" s="4" t="inlineStr">
        <is>
          <t>Club/Academia</t>
        </is>
      </c>
      <c r="D6" s="9" t="inlineStr">
        <is>
          <t>Participante confirmado Costa Daurada Cup 2026 — encaja con foco geográfico EEUU</t>
        </is>
      </c>
      <c r="E6" s="4" t="inlineStr">
        <is>
          <t>costadauradacup.com</t>
        </is>
      </c>
      <c r="F6" s="4" t="n"/>
      <c r="G6" s="4" t="n"/>
      <c r="H6" s="4" t="inlineStr">
        <is>
          <t>Pendiente investigar contacto</t>
        </is>
      </c>
      <c r="I6" s="9" t="inlineStr">
        <is>
          <t>Investigar contacto — solo después de que Segmento A tenga 2-3 conversaciones reales</t>
        </is>
      </c>
      <c r="J6" s="9" t="n"/>
      <c r="K6" s="9" t="n"/>
      <c r="L6" s="10" t="n"/>
      <c r="M6" s="10" t="n"/>
      <c r="N6" s="9" t="n"/>
      <c r="O6" s="9" t="inlineStr">
        <is>
          <t>1er email/LinkedIn: NADA adjunto. Si responde: ficha Team Experience (equipos) o Campus Internacional (academias, ficha pendiente). Segmento secundario: no invertir en materiales a medida hasta tener conversaciones reales.</t>
        </is>
      </c>
    </row>
    <row r="7" ht="56" customHeight="1" s="52">
      <c r="A7" s="4" t="inlineStr">
        <is>
          <t>Dallas Texans</t>
        </is>
      </c>
      <c r="B7" s="4" t="inlineStr">
        <is>
          <t>Texas, EEUU</t>
        </is>
      </c>
      <c r="C7" s="4" t="inlineStr">
        <is>
          <t>Club/Academia (ECNL)</t>
        </is>
      </c>
      <c r="D7" s="9" t="inlineStr">
        <is>
          <t>Participante ECNL International IberCup 2026</t>
        </is>
      </c>
      <c r="E7" s="4" t="inlineStr">
        <is>
          <t>soccerwire.com / theecnl.com</t>
        </is>
      </c>
      <c r="F7" s="4" t="n"/>
      <c r="G7" s="4" t="n"/>
      <c r="H7" s="4" t="inlineStr">
        <is>
          <t>Pendiente filtrar por edad + contacto</t>
        </is>
      </c>
      <c r="I7" s="9" t="inlineStr">
        <is>
          <t>Confirmar categorías mayores antes de investigar más</t>
        </is>
      </c>
      <c r="J7" s="9" t="n"/>
      <c r="K7" s="9" t="n"/>
      <c r="L7" s="10" t="n"/>
      <c r="M7" s="10" t="n"/>
      <c r="N7" s="9" t="inlineStr">
        <is>
          <t>Aviso: categoría IberCup es U11/U12 7v7 — confirmar que tienen categorías mayores antes de contactar</t>
        </is>
      </c>
      <c r="O7" s="9" t="inlineStr">
        <is>
          <t>1er email/LinkedIn: NADA adjunto. Si responde: ficha Team Experience (equipos) o Campus Internacional (academias, ficha pendiente). Segmento secundario: no invertir en materiales a medida hasta tener conversaciones reales.</t>
        </is>
      </c>
    </row>
    <row r="8" ht="56" customHeight="1" s="52">
      <c r="A8" s="4" t="inlineStr">
        <is>
          <t>Charlotte SA</t>
        </is>
      </c>
      <c r="B8" s="4" t="inlineStr">
        <is>
          <t>Carolina del Norte, EEUU</t>
        </is>
      </c>
      <c r="C8" s="4" t="inlineStr">
        <is>
          <t>Club/Academia (ECNL)</t>
        </is>
      </c>
      <c r="D8" s="9" t="inlineStr">
        <is>
          <t>Participante ECNL International IberCup 2026</t>
        </is>
      </c>
      <c r="E8" s="4" t="inlineStr">
        <is>
          <t>soccerwire.com / theecnl.com</t>
        </is>
      </c>
      <c r="F8" s="4" t="n"/>
      <c r="G8" s="4" t="n"/>
      <c r="H8" s="4" t="inlineStr">
        <is>
          <t>Pendiente filtrar por edad + contacto</t>
        </is>
      </c>
      <c r="I8" s="9" t="inlineStr">
        <is>
          <t>Confirmar categorías mayores antes de investigar más</t>
        </is>
      </c>
      <c r="J8" s="9" t="n"/>
      <c r="K8" s="9" t="n"/>
      <c r="L8" s="10" t="n"/>
      <c r="M8" s="10" t="n"/>
      <c r="N8" s="9" t="inlineStr">
        <is>
          <t>Mismo aviso de edad que arriba</t>
        </is>
      </c>
      <c r="O8" s="9" t="inlineStr">
        <is>
          <t>1er email/LinkedIn: NADA adjunto. Si responde: ficha Team Experience (equipos) o Campus Internacional (academias, ficha pendiente). Segmento secundario: no invertir en materiales a medida hasta tener conversaciones reales.</t>
        </is>
      </c>
    </row>
    <row r="9" ht="56" customHeight="1" s="52">
      <c r="A9" s="4" t="inlineStr">
        <is>
          <t>Philadelphia Union Academy</t>
        </is>
      </c>
      <c r="B9" s="4" t="inlineStr">
        <is>
          <t>Pensilvania, EEUU</t>
        </is>
      </c>
      <c r="C9" s="4" t="inlineStr">
        <is>
          <t>Club/Academia (ECNL)</t>
        </is>
      </c>
      <c r="D9" s="9" t="inlineStr">
        <is>
          <t>Participante ECNL International IberCup 2026</t>
        </is>
      </c>
      <c r="E9" s="4" t="inlineStr">
        <is>
          <t>soccerwire.com / theecnl.com</t>
        </is>
      </c>
      <c r="F9" s="4" t="n"/>
      <c r="G9" s="4" t="n"/>
      <c r="H9" s="4" t="inlineStr">
        <is>
          <t>Pendiente filtrar por edad + contacto</t>
        </is>
      </c>
      <c r="I9" s="9" t="inlineStr">
        <is>
          <t>Confirmar categorías mayores antes de investigar más</t>
        </is>
      </c>
      <c r="J9" s="9" t="n"/>
      <c r="K9" s="9" t="n"/>
      <c r="L9" s="10" t="n"/>
      <c r="M9" s="10" t="n"/>
      <c r="N9" s="9" t="inlineStr">
        <is>
          <t>Mismo aviso de edad que arriba</t>
        </is>
      </c>
      <c r="O9" s="9" t="inlineStr">
        <is>
          <t>1er email/LinkedIn: NADA adjunto. Si responde: ficha Team Experience (equipos) o Campus Internacional (academias, ficha pendiente). Segmento secundario: no invertir en materiales a medida hasta tener conversaciones reales.</t>
        </is>
      </c>
    </row>
    <row r="10" ht="56" customHeight="1" s="52">
      <c r="A10" s="4" t="inlineStr">
        <is>
          <t>Seattle United</t>
        </is>
      </c>
      <c r="B10" s="4" t="inlineStr">
        <is>
          <t>Washington, EEUU</t>
        </is>
      </c>
      <c r="C10" s="4" t="inlineStr">
        <is>
          <t>Club/Academia (ECNL)</t>
        </is>
      </c>
      <c r="D10" s="9" t="inlineStr">
        <is>
          <t>Participante ECNL International IberCup 2026</t>
        </is>
      </c>
      <c r="E10" s="4" t="inlineStr">
        <is>
          <t>soccerwire.com / theecnl.com</t>
        </is>
      </c>
      <c r="F10" s="4" t="n"/>
      <c r="G10" s="4" t="n"/>
      <c r="H10" s="4" t="inlineStr">
        <is>
          <t>Pendiente filtrar por edad + contacto</t>
        </is>
      </c>
      <c r="I10" s="9" t="inlineStr">
        <is>
          <t>Confirmar categorías mayores antes de investigar más</t>
        </is>
      </c>
      <c r="J10" s="9" t="n"/>
      <c r="K10" s="9" t="n"/>
      <c r="L10" s="10" t="n"/>
      <c r="M10" s="10" t="n"/>
      <c r="N10" s="9" t="inlineStr">
        <is>
          <t>Mismo aviso de edad que arriba</t>
        </is>
      </c>
      <c r="O10" s="9" t="inlineStr">
        <is>
          <t>1er email/LinkedIn: NADA adjunto. Si responde: ficha Team Experience (equipos) o Campus Internacional (academias, ficha pendiente). Segmento secundario: no invertir en materiales a medida hasta tener conversaciones reales.</t>
        </is>
      </c>
    </row>
    <row r="11" ht="56" customHeight="1" s="52">
      <c r="A11" s="4" t="inlineStr">
        <is>
          <t>San Diego Surf</t>
        </is>
      </c>
      <c r="B11" s="4" t="inlineStr">
        <is>
          <t>California, EEUU</t>
        </is>
      </c>
      <c r="C11" s="4" t="inlineStr">
        <is>
          <t>Club/Academia (ECNL)</t>
        </is>
      </c>
      <c r="D11" s="9" t="inlineStr">
        <is>
          <t>Participante ECNL International IberCup 2026</t>
        </is>
      </c>
      <c r="E11" s="4" t="inlineStr">
        <is>
          <t>soccerwire.com / theecnl.com</t>
        </is>
      </c>
      <c r="F11" s="4" t="n"/>
      <c r="G11" s="4" t="n"/>
      <c r="H11" s="4" t="inlineStr">
        <is>
          <t>Pendiente filtrar por edad + contacto</t>
        </is>
      </c>
      <c r="I11" s="9" t="inlineStr">
        <is>
          <t>Confirmar categorías mayores antes de investigar más</t>
        </is>
      </c>
      <c r="J11" s="9" t="n"/>
      <c r="K11" s="9" t="n"/>
      <c r="L11" s="10" t="n"/>
      <c r="M11" s="10" t="n"/>
      <c r="N11" s="9" t="inlineStr">
        <is>
          <t>Mismo aviso de edad que arriba</t>
        </is>
      </c>
      <c r="O11" s="9" t="inlineStr">
        <is>
          <t>1er email/LinkedIn: NADA adjunto. Si responde: ficha Team Experience (equipos) o Campus Internacional (academias, ficha pendiente). Segmento secundario: no invertir en materiales a medida hasta tener conversaciones reales.</t>
        </is>
      </c>
    </row>
    <row r="12" ht="56" customHeight="1" s="52">
      <c r="A12" s="4" t="inlineStr">
        <is>
          <t>UNC Women's Soccer</t>
        </is>
      </c>
      <c r="B12" s="4" t="inlineStr">
        <is>
          <t>Carolina del Norte, EEUU</t>
        </is>
      </c>
      <c r="C12" s="4" t="inlineStr">
        <is>
          <t>NCAA D1 (ACC, top-25)</t>
        </is>
      </c>
      <c r="D12" s="9" t="inlineStr">
        <is>
          <t>Primera gira internacional en 15 años (Dublín, agosto 2026) — demuestra que el interés es real</t>
        </is>
      </c>
      <c r="E12" s="4" t="inlineStr">
        <is>
          <t>tarheeltribune.com</t>
        </is>
      </c>
      <c r="F12" s="4" t="n"/>
      <c r="G12" s="4" t="n"/>
      <c r="H12" s="4" t="inlineStr">
        <is>
          <t>Solo referencia — NO contactar</t>
        </is>
      </c>
      <c r="I12" s="9" t="inlineStr">
        <is>
          <t>Ninguna — caso de estudio, no target</t>
        </is>
      </c>
      <c r="J12" s="9" t="n"/>
      <c r="K12" s="9" t="n"/>
      <c r="L12" s="10" t="n"/>
      <c r="M12" s="10" t="n"/>
      <c r="N12" s="9" t="inlineStr">
        <is>
          <t>Programa grande con relaciones ya asentadas, mal candidato para primer contacto. Dejar como caso de estudio del mercado</t>
        </is>
      </c>
      <c r="O12" s="9" t="inlineStr">
        <is>
          <t>1er email/LinkedIn: NADA adjunto. Si responde: ficha Team Experience (equipos) o Campus Internacional (academias, ficha pendiente). Segmento secundario: no invertir en materiales a medida hasta tener conversaciones reales.</t>
        </is>
      </c>
    </row>
    <row r="13" ht="56" customHeight="1" s="52">
      <c r="A13" s="4" t="inlineStr">
        <is>
          <t>Programas NCAA D2/D3 sin partnership visible (por identificar)</t>
        </is>
      </c>
      <c r="B13" s="4" t="inlineStr">
        <is>
          <t>EEUU</t>
        </is>
      </c>
      <c r="C13" s="4" t="inlineStr">
        <is>
          <t>NCAA D2/D3</t>
        </is>
      </c>
      <c r="D13" s="9" t="inlineStr">
        <is>
          <t>Hipótesis sin validar: menos competencia que D1, presupuestos más flexibles</t>
        </is>
      </c>
      <c r="E13" s="4" t="inlineStr">
        <is>
          <t>Pendiente investigación propia</t>
        </is>
      </c>
      <c r="F13" s="4" t="n"/>
      <c r="G13" s="4" t="n"/>
      <c r="H13" s="4" t="inlineStr">
        <is>
          <t>Pendiente investigación profunda</t>
        </is>
      </c>
      <c r="I13" s="9" t="inlineStr">
        <is>
          <t>Sesión de investigación dedicada (no urgente)</t>
        </is>
      </c>
      <c r="J13" s="9" t="n"/>
      <c r="K13" s="9" t="n"/>
      <c r="L13" s="10" t="n"/>
      <c r="M13" s="10" t="n"/>
      <c r="N13" s="9" t="inlineStr">
        <is>
          <t>Búsqueda rápida (2026-08-29) no encontró candidatos concretos — requiere sesión de investigación dedicada, no una búsqueda genérica</t>
        </is>
      </c>
      <c r="O13" s="9" t="inlineStr">
        <is>
          <t>1er email/LinkedIn: NADA adjunto. Si responde: ficha Team Experience (equipos) o Campus Internacional (academias, ficha pendiente). Segmento secundario: no invertir en materiales a medida hasta tener conversaciones reales.</t>
        </is>
      </c>
    </row>
  </sheetData>
  <autoFilter ref="A5:O13"/>
  <mergeCells count="3">
    <mergeCell ref="A3:N4"/>
    <mergeCell ref="A2:N2"/>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0"/>
  <sheetViews>
    <sheetView workbookViewId="0">
      <pane ySplit="5" topLeftCell="A6" activePane="bottomLeft" state="frozen"/>
      <selection pane="bottomLeft" activeCell="A1" sqref="A1"/>
    </sheetView>
  </sheetViews>
  <sheetFormatPr baseColWidth="10" defaultColWidth="8.83203125" defaultRowHeight="15"/>
  <cols>
    <col width="30" customWidth="1" style="52" min="1" max="1"/>
    <col width="8" customWidth="1" style="52" min="2" max="2"/>
    <col width="18" customWidth="1" style="52" min="3" max="3"/>
    <col width="30" customWidth="1" style="52" min="4" max="4"/>
    <col width="18" customWidth="1" style="52" min="5" max="5"/>
    <col width="16" customWidth="1" style="52" min="6" max="6"/>
    <col width="28" customWidth="1" style="52" min="7" max="7"/>
    <col width="34" customWidth="1" style="52" min="8" max="8"/>
    <col width="16" customWidth="1" style="52" min="9" max="9"/>
    <col width="40" customWidth="1" style="52" min="10" max="10"/>
    <col width="55" customWidth="1" style="52" min="11" max="11"/>
  </cols>
  <sheetData>
    <row r="1" ht="18" customHeight="1" s="52">
      <c r="A1" s="55" t="inlineStr">
        <is>
          <t>Segmento C — Becas deportivas (inbound Instagram)</t>
        </is>
      </c>
    </row>
    <row r="2">
      <c r="A2" s="56" t="inlineStr">
        <is>
          <t>No es outreach frío — es inbound que ya llega solo. El trabajo es cualificar y cerrar mejor.</t>
        </is>
      </c>
    </row>
    <row r="3" ht="60" customHeight="1" s="52">
      <c r="A3" s="58" t="inlineStr">
        <is>
          <t>MIGRADO desde 01-clients/pipeline.md (tabla 'Embudo — seguimiento de leads inbound') el 2026-08-29 — esta pestaña sustituye esa tabla como fuente única de verdad para leads de becas. Etapa: usar Nuevo / Cualificado / Llamada agendada / Llamada realizada / Cerrado / Perdido para que las fórmulas de Hoy funcionen.</t>
        </is>
      </c>
    </row>
    <row r="4"/>
    <row r="5" ht="28" customHeight="1" s="52">
      <c r="A5" s="3" t="inlineStr">
        <is>
          <t>Nombre / contacto (IG)</t>
        </is>
      </c>
      <c r="B5" s="3" t="inlineStr">
        <is>
          <t>Edad</t>
        </is>
      </c>
      <c r="C5" s="3" t="inlineStr">
        <is>
          <t>País</t>
        </is>
      </c>
      <c r="D5" s="3" t="inlineStr">
        <is>
          <t>Nivel/Posición</t>
        </is>
      </c>
      <c r="E5" s="3" t="inlineStr">
        <is>
          <t>Etapa</t>
        </is>
      </c>
      <c r="F5" s="3" t="inlineStr">
        <is>
          <t>¿Vídeo recibido?</t>
        </is>
      </c>
      <c r="G5" s="3" t="inlineStr">
        <is>
          <t>¿Cualificado? (ver plan-ventas-maestro.md sec.5)</t>
        </is>
      </c>
      <c r="H5" s="3" t="inlineStr">
        <is>
          <t>Próxima acción</t>
        </is>
      </c>
      <c r="I5" s="3" t="inlineStr">
        <is>
          <t>Última actualización</t>
        </is>
      </c>
      <c r="J5" s="3" t="inlineStr">
        <is>
          <t>Notas</t>
        </is>
      </c>
      <c r="K5" s="12" t="inlineStr">
        <is>
          <t>Qué adjuntar (por etapa)</t>
        </is>
      </c>
    </row>
    <row r="6" ht="42" customHeight="1" s="52">
      <c r="A6" s="4" t="inlineStr">
        <is>
          <t>Francisco Ferreira / francisco_7ferreira</t>
        </is>
      </c>
      <c r="B6" s="4" t="inlineStr">
        <is>
          <t>20</t>
        </is>
      </c>
      <c r="C6" s="4" t="inlineStr">
        <is>
          <t>Portugal</t>
        </is>
      </c>
      <c r="D6" s="4" t="inlineStr">
        <is>
          <t>Lateral derecho, 2ª división distrital</t>
        </is>
      </c>
      <c r="E6" s="4" t="inlineStr">
        <is>
          <t>Llamada realizada</t>
        </is>
      </c>
      <c r="F6" s="4" t="inlineStr">
        <is>
          <t>Sí</t>
        </is>
      </c>
      <c r="G6" s="4" t="inlineStr">
        <is>
          <t>Sí — mandó vídeo</t>
        </is>
      </c>
      <c r="H6" s="9" t="inlineStr">
        <is>
          <t>Acusar recibo del vídeo y evaluar</t>
        </is>
      </c>
      <c r="I6" s="4" t="inlineStr">
        <is>
          <t>2026-08</t>
        </is>
      </c>
      <c r="J6" s="9" t="inlineStr">
        <is>
          <t>Dilema real: ir a EEUU 2027 vs. quedarse en Portugal a estudiar</t>
        </is>
      </c>
      <c r="K6" s="9" t="inlineStr">
        <is>
          <t>1er DM: sin adjuntos. Tras cualificar (nivel + vídeo): ficha Always-Up-Becas-EEUU.pdf (2 págs, en español, pensada para móvil, sin precio). NUNCA el deck de University Soccer. Llamada: Calendly.</t>
        </is>
      </c>
    </row>
    <row r="7" ht="42" customHeight="1" s="52">
      <c r="A7" s="4" t="inlineStr">
        <is>
          <t>Bauti / bautimoransalzano</t>
        </is>
      </c>
      <c r="B7" s="4" t="n"/>
      <c r="C7" s="4" t="n"/>
      <c r="D7" s="4" t="n"/>
      <c r="E7" s="4" t="inlineStr">
        <is>
          <t>Nuevo</t>
        </is>
      </c>
      <c r="F7" s="4" t="inlineStr">
        <is>
          <t>No</t>
        </is>
      </c>
      <c r="G7" s="4" t="inlineStr">
        <is>
          <t>Sin evaluar</t>
        </is>
      </c>
      <c r="H7" s="9" t="inlineStr">
        <is>
          <t>Aceptar la solicitud de IG (2 semanas sin aceptar)</t>
        </is>
      </c>
      <c r="I7" s="4" t="inlineStr">
        <is>
          <t>2026-08</t>
        </is>
      </c>
      <c r="J7" s="9" t="inlineStr">
        <is>
          <t>Preguntó directamente por el sistema de becas</t>
        </is>
      </c>
      <c r="K7" s="9" t="inlineStr">
        <is>
          <t>1er DM: sin adjuntos. Tras cualificar (nivel + vídeo): ficha Always-Up-Becas-EEUU.pdf (2 págs, en español, pensada para móvil, sin precio). NUNCA el deck de University Soccer. Llamada: Calendly.</t>
        </is>
      </c>
    </row>
    <row r="8" ht="42" customHeight="1" s="52">
      <c r="A8" s="4" t="inlineStr">
        <is>
          <t>Pavel Gomez / paixvi.b</t>
        </is>
      </c>
      <c r="B8" s="4" t="inlineStr">
        <is>
          <t>17</t>
        </is>
      </c>
      <c r="C8" s="4" t="inlineStr">
        <is>
          <t>EEUU (ya reside)</t>
        </is>
      </c>
      <c r="D8" s="4" t="inlineStr">
        <is>
          <t>Junior, Osceola HS clase 2027, GPA 3.0</t>
        </is>
      </c>
      <c r="E8" s="4" t="inlineStr">
        <is>
          <t>Cualificado</t>
        </is>
      </c>
      <c r="F8" s="4" t="inlineStr">
        <is>
          <t>Sí</t>
        </is>
      </c>
      <c r="G8" s="4" t="inlineStr">
        <is>
          <t>Sí</t>
        </is>
      </c>
      <c r="H8" s="9" t="inlineStr">
        <is>
          <t>Proponer videollamada</t>
        </is>
      </c>
      <c r="I8" s="4" t="inlineStr">
        <is>
          <t>2026-08</t>
        </is>
      </c>
      <c r="J8" s="9" t="inlineStr">
        <is>
          <t>Lead fuerte — ya en EEUU, quiere seguir compitiendo y sacar diploma</t>
        </is>
      </c>
      <c r="K8" s="9" t="inlineStr">
        <is>
          <t>1er DM: sin adjuntos. Tras cualificar (nivel + vídeo): ficha Always-Up-Becas-EEUU.pdf (2 págs, en español, pensada para móvil, sin precio). NUNCA el deck de University Soccer. Llamada: Calendly.</t>
        </is>
      </c>
    </row>
    <row r="9" ht="42" customHeight="1" s="52">
      <c r="A9" s="4" t="inlineStr">
        <is>
          <t>Gonzalo Caro / gonzalocarocontreras</t>
        </is>
      </c>
      <c r="B9" s="4" t="n"/>
      <c r="C9" s="4" t="n"/>
      <c r="D9" s="4" t="n"/>
      <c r="E9" s="4" t="inlineStr">
        <is>
          <t>Llamada agendada</t>
        </is>
      </c>
      <c r="F9" s="4" t="n"/>
      <c r="G9" s="4" t="inlineStr">
        <is>
          <t>Sí</t>
        </is>
      </c>
      <c r="H9" s="9" t="inlineStr">
        <is>
          <t>Confirmar hora propuesta: jueves 8am</t>
        </is>
      </c>
      <c r="I9" s="4" t="inlineStr">
        <is>
          <t>2026-08</t>
        </is>
      </c>
      <c r="J9" s="9" t="inlineStr">
        <is>
          <t>Lead muy caliente, solo falta confirmar</t>
        </is>
      </c>
      <c r="K9" s="9" t="inlineStr">
        <is>
          <t>1er DM: sin adjuntos. Tras cualificar (nivel + vídeo): ficha Always-Up-Becas-EEUU.pdf (2 págs, en español, pensada para móvil, sin precio). NUNCA el deck de University Soccer. Llamada: Calendly.</t>
        </is>
      </c>
    </row>
    <row r="10" ht="42" customHeight="1" s="52">
      <c r="A10" s="4" t="inlineStr">
        <is>
          <t>Tania Coeto / tania_coeto</t>
        </is>
      </c>
      <c r="B10" s="4" t="n"/>
      <c r="C10" s="4" t="n"/>
      <c r="D10" s="4" t="n"/>
      <c r="E10" s="4" t="inlineStr">
        <is>
          <t>Llamada agendada</t>
        </is>
      </c>
      <c r="F10" s="4" t="n"/>
      <c r="G10" s="4" t="inlineStr">
        <is>
          <t>Sí</t>
        </is>
      </c>
      <c r="H10" s="9" t="inlineStr">
        <is>
          <t>Confirmar día para videollamada</t>
        </is>
      </c>
      <c r="I10" s="4" t="inlineStr">
        <is>
          <t>2026-08</t>
        </is>
      </c>
      <c r="J10" s="9" t="inlineStr">
        <is>
          <t>Intentaba cerrar día ('hoy o mañana'), se quedó sin respuesta</t>
        </is>
      </c>
      <c r="K10" s="9" t="inlineStr">
        <is>
          <t>1er DM: sin adjuntos. Tras cualificar (nivel + vídeo): ficha Always-Up-Becas-EEUU.pdf (2 págs, en español, pensada para móvil, sin precio). NUNCA el deck de University Soccer. Llamada: Calendly.</t>
        </is>
      </c>
    </row>
    <row r="11" ht="42" customHeight="1" s="52">
      <c r="A11" s="4" t="inlineStr">
        <is>
          <t>Barbara Cuellar / bcshisha</t>
        </is>
      </c>
      <c r="B11" s="4" t="inlineStr">
        <is>
          <t>13</t>
        </is>
      </c>
      <c r="C11" s="4" t="inlineStr">
        <is>
          <t>Reino Unido (interés original)</t>
        </is>
      </c>
      <c r="D11" s="4" t="inlineStr">
        <is>
          <t>Fan Manchester City</t>
        </is>
      </c>
      <c r="E11" s="4" t="inlineStr">
        <is>
          <t>Cualificado</t>
        </is>
      </c>
      <c r="F11" s="4" t="inlineStr">
        <is>
          <t>No</t>
        </is>
      </c>
      <c r="G11" s="4" t="inlineStr">
        <is>
          <t>Parcial</t>
        </is>
      </c>
      <c r="H11" s="9" t="inlineStr">
        <is>
          <t>Enviar explicación del proceso EEUU (nunca mencionar University Soccer)</t>
        </is>
      </c>
      <c r="I11" s="4" t="inlineStr">
        <is>
          <t>2026-08</t>
        </is>
      </c>
      <c r="J11" s="9" t="inlineStr">
        <is>
          <t>Originalmente pedía Inglaterra, aceptó explorar vía EEUU</t>
        </is>
      </c>
      <c r="K11" s="9" t="inlineStr">
        <is>
          <t>1er DM: sin adjuntos. Tras cualificar (nivel + vídeo): ficha Always-Up-Becas-EEUU.pdf (2 págs, en español, pensada para móvil, sin precio). NUNCA el deck de University Soccer. Llamada: Calendly.</t>
        </is>
      </c>
    </row>
    <row r="12" ht="75" customHeight="1" s="52">
      <c r="A12" s="4" t="inlineStr">
        <is>
          <t>Omar Escamilla / omare815 — CONFIRMADO mismo lead que WhatsApp +52 1 81 3408 2672 (Gabriel y Rafael)</t>
        </is>
      </c>
      <c r="B12" s="4" t="inlineStr">
        <is>
          <t>17</t>
        </is>
      </c>
      <c r="C12" s="4" t="inlineStr">
        <is>
          <t>México (Monterrey, 2h de la frontera con Texas)</t>
        </is>
      </c>
      <c r="D12" s="4" t="inlineStr">
        <is>
          <t>Gemelos Gabriel (lateral izquierdo, 1.82m) y Rafael (medio, 1.82m) — Club Dallas FC filial México, titulares, buen nivel según el padre</t>
        </is>
      </c>
      <c r="E12" s="4" t="inlineStr">
        <is>
          <t>Llamada realizada</t>
        </is>
      </c>
      <c r="F12" s="4" t="inlineStr">
        <is>
          <t>Tienen vídeo del año pasado + uno actualizado en camino (semanas)</t>
        </is>
      </c>
      <c r="G12" s="4" t="inlineStr">
        <is>
          <t>Sí — edad, nivel y plazo (agosto 2027) confirmados por el padre</t>
        </is>
      </c>
      <c r="H12" s="9" t="inlineStr">
        <is>
          <t>Follow-up enviado el 13/10. Si no contesta en 7 días (20/10): un último mensaje corto y pasar a 'frío'. No bajar más el precio.</t>
        </is>
      </c>
      <c r="I12" s="4" t="inlineStr">
        <is>
          <t>2026-10-13</t>
        </is>
      </c>
      <c r="J12" s="9" t="inlineStr">
        <is>
          <t>Llamada realizada 15/09/2026. Resultado: la familia lo va a valorar 'en los próximos días', Joel manda evaluación/propuesta cuando den el okay. Joel ya envió foto de precios por WhatsApp + mensaje de cierre de llamada. Pendiente: confirmar si ya tienen el vídeo en mano, y si se aclaró en la llamada si buscan la misma universidad para los dos gemelos o están abiertos a separarse. | 17/09 objeción: precio alto 'x2', quiere evaluación antes de decidir (qué beca y qué división). 18/09 oferta de Joel por niño: pago único $2.000 (en vez de $2.500) o 2 plazos $250 + $2.500 (en vez de $3.500). 27/09 Omar: 'la próxima semana te envío vídeo y datos'. Sin datos desde entonces. | 13/10: Joel envió el follow-up pidiendo vídeo/datos con salida elegante.</t>
        </is>
      </c>
      <c r="K12" s="9" t="inlineStr">
        <is>
          <t>1er DM: sin adjuntos. Tras cualificar (nivel + vídeo): ficha Always-Up-Becas-EEUU.pdf (2 págs, en español, pensada para móvil, sin precio). NUNCA el deck de University Soccer. Llamada: Calendly.</t>
        </is>
      </c>
    </row>
    <row r="13" ht="42" customHeight="1" s="52">
      <c r="A13" s="4" t="inlineStr">
        <is>
          <t>Angelica Suarez Rivera / angelicamiami</t>
        </is>
      </c>
      <c r="B13" s="4" t="inlineStr">
        <is>
          <t>10</t>
        </is>
      </c>
      <c r="C13" s="4" t="inlineStr">
        <is>
          <t>EEUU (Miami)</t>
        </is>
      </c>
      <c r="D13" s="4" t="n"/>
      <c r="E13" s="4" t="inlineStr">
        <is>
          <t>Cualificado</t>
        </is>
      </c>
      <c r="F13" s="4" t="inlineStr">
        <is>
          <t>No</t>
        </is>
      </c>
      <c r="G13" s="4" t="inlineStr">
        <is>
          <t>Parcial — edad muy temprana para evaluar</t>
        </is>
      </c>
      <c r="H13" s="9" t="inlineStr">
        <is>
          <t>Enviar guia-becas.md</t>
        </is>
      </c>
      <c r="I13" s="4" t="inlineStr">
        <is>
          <t>2026-08</t>
        </is>
      </c>
      <c r="J13" s="9" t="inlineStr">
        <is>
          <t>Pidió la guía explícitamente</t>
        </is>
      </c>
      <c r="K13" s="9" t="inlineStr">
        <is>
          <t>1er DM: sin adjuntos. Tras cualificar (nivel + vídeo): ficha Always-Up-Becas-EEUU.pdf (2 págs, en español, pensada para móvil, sin precio). NUNCA el deck de University Soccer. Llamada: Calendly.</t>
        </is>
      </c>
    </row>
    <row r="14" ht="42" customHeight="1" s="52">
      <c r="A14" s="4" t="inlineStr">
        <is>
          <t>Ana Aida Uribe / aauribe</t>
        </is>
      </c>
      <c r="B14" s="4" t="n"/>
      <c r="C14" s="4" t="n"/>
      <c r="D14" s="4" t="inlineStr">
        <is>
          <t>Entra a último año en agosto, gradúa mayo 2027</t>
        </is>
      </c>
      <c r="E14" s="4" t="inlineStr">
        <is>
          <t>Cualificado</t>
        </is>
      </c>
      <c r="F14" s="4" t="inlineStr">
        <is>
          <t>No</t>
        </is>
      </c>
      <c r="G14" s="4" t="inlineStr">
        <is>
          <t>Sí, pero enfriado</t>
        </is>
      </c>
      <c r="H14" s="9" t="inlineStr">
        <is>
          <t>Reactivar — el enlace genérico anterior no tuvo CTA claro</t>
        </is>
      </c>
      <c r="I14" s="4" t="inlineStr">
        <is>
          <t>2026-08</t>
        </is>
      </c>
      <c r="J14" s="9" t="inlineStr">
        <is>
          <t>Conversación avanzada que se enfrió</t>
        </is>
      </c>
      <c r="K14" s="9" t="inlineStr">
        <is>
          <t>1er DM: sin adjuntos. Tras cualificar (nivel + vídeo): ficha Always-Up-Becas-EEUU.pdf (2 págs, en español, pensada para móvil, sin precio). NUNCA el deck de University Soccer. Llamada: Calendly.</t>
        </is>
      </c>
    </row>
    <row r="15" ht="42" customHeight="1" s="52">
      <c r="A15" s="4" t="inlineStr">
        <is>
          <t>Jeinz Alzate / jeinzalzate</t>
        </is>
      </c>
      <c r="B15" s="4" t="inlineStr">
        <is>
          <t>14</t>
        </is>
      </c>
      <c r="C15" s="4" t="inlineStr">
        <is>
          <t>EEUU (Florida)</t>
        </is>
      </c>
      <c r="D15" s="4" t="inlineStr">
        <is>
          <t>Terminó temporada en academia</t>
        </is>
      </c>
      <c r="E15" s="4" t="inlineStr">
        <is>
          <t>Cualificado</t>
        </is>
      </c>
      <c r="F15" s="4" t="inlineStr">
        <is>
          <t>No</t>
        </is>
      </c>
      <c r="G15" s="4" t="inlineStr">
        <is>
          <t>Parcial — edad temprana</t>
        </is>
      </c>
      <c r="H15" s="9" t="inlineStr">
        <is>
          <t>Seguir conversación</t>
        </is>
      </c>
      <c r="I15" s="4" t="inlineStr">
        <is>
          <t>2026-08</t>
        </is>
      </c>
      <c r="J15" s="9" t="n"/>
      <c r="K15" s="9" t="inlineStr">
        <is>
          <t>1er DM: sin adjuntos. Tras cualificar (nivel + vídeo): ficha Always-Up-Becas-EEUU.pdf (2 págs, en español, pensada para móvil, sin precio). NUNCA el deck de University Soccer. Llamada: Calendly.</t>
        </is>
      </c>
    </row>
    <row r="16" ht="42" customHeight="1" s="52">
      <c r="A16" s="4" t="inlineStr">
        <is>
          <t>Anita / ani_0487</t>
        </is>
      </c>
      <c r="B16" s="4" t="inlineStr">
        <is>
          <t>16</t>
        </is>
      </c>
      <c r="C16" s="4" t="n"/>
      <c r="D16" s="4" t="inlineStr">
        <is>
          <t>Delantero, estudiando</t>
        </is>
      </c>
      <c r="E16" s="4" t="inlineStr">
        <is>
          <t>Cualificado</t>
        </is>
      </c>
      <c r="F16" s="4" t="inlineStr">
        <is>
          <t>No</t>
        </is>
      </c>
      <c r="G16" s="4" t="inlineStr">
        <is>
          <t>Sí</t>
        </is>
      </c>
      <c r="H16" s="9" t="inlineStr">
        <is>
          <t>Responder pregunta directa sobre inscripción</t>
        </is>
      </c>
      <c r="I16" s="4" t="inlineStr">
        <is>
          <t>2026-08</t>
        </is>
      </c>
      <c r="J16" s="9" t="n"/>
      <c r="K16" s="9" t="inlineStr">
        <is>
          <t>1er DM: sin adjuntos. Tras cualificar (nivel + vídeo): ficha Always-Up-Becas-EEUU.pdf (2 págs, en español, pensada para móvil, sin precio). NUNCA el deck de University Soccer. Llamada: Calendly.</t>
        </is>
      </c>
    </row>
    <row r="17" ht="42" customHeight="1" s="52">
      <c r="A17" s="4" t="inlineStr">
        <is>
          <t>Margarita Vanegas / margaritavanegasoficial</t>
        </is>
      </c>
      <c r="B17" s="4" t="n"/>
      <c r="C17" s="4" t="inlineStr">
        <is>
          <t>Colombia</t>
        </is>
      </c>
      <c r="D17" s="4" t="inlineStr">
        <is>
          <t>Baloncesto — armador zurdo</t>
        </is>
      </c>
      <c r="E17" s="4" t="inlineStr">
        <is>
          <t>Cualificado</t>
        </is>
      </c>
      <c r="F17" s="4" t="inlineStr">
        <is>
          <t>No</t>
        </is>
      </c>
      <c r="G17" s="4" t="inlineStr">
        <is>
          <t>Sí</t>
        </is>
      </c>
      <c r="H17" s="9" t="inlineStr">
        <is>
          <t>Pedir vídeo y notas académicas</t>
        </is>
      </c>
      <c r="I17" s="4" t="inlineStr">
        <is>
          <t>2026-08</t>
        </is>
      </c>
      <c r="J17" s="9" t="inlineStr">
        <is>
          <t>Confirmado: Always Up sí trabaja otros deportes, no solo fútbol</t>
        </is>
      </c>
      <c r="K17" s="9" t="inlineStr">
        <is>
          <t>1er DM: sin adjuntos. Tras cualificar (nivel + vídeo): ficha Always-Up-Becas-EEUU.pdf (2 págs, en español, pensada para móvil, sin precio). NUNCA el deck de University Soccer. Llamada: Calendly.</t>
        </is>
      </c>
    </row>
    <row r="18" ht="42" customHeight="1" s="52">
      <c r="A18" s="4" t="inlineStr">
        <is>
          <t>Edwin Serrato / edwinserrato84</t>
        </is>
      </c>
      <c r="B18" s="4" t="inlineStr">
        <is>
          <t>13</t>
        </is>
      </c>
      <c r="C18" s="4" t="inlineStr">
        <is>
          <t>Colombia</t>
        </is>
      </c>
      <c r="D18" s="4" t="inlineStr">
        <is>
          <t>Interior/volante medio</t>
        </is>
      </c>
      <c r="E18" s="4" t="inlineStr">
        <is>
          <t>Cualificado</t>
        </is>
      </c>
      <c r="F18" s="4" t="inlineStr">
        <is>
          <t>Sí</t>
        </is>
      </c>
      <c r="G18" s="4" t="inlineStr">
        <is>
          <t>Parcial — falta situación académica</t>
        </is>
      </c>
      <c r="H18" s="9" t="inlineStr">
        <is>
          <t>Pedir situación académica</t>
        </is>
      </c>
      <c r="I18" s="4" t="inlineStr">
        <is>
          <t>2026-08</t>
        </is>
      </c>
      <c r="J18" s="9" t="inlineStr">
        <is>
          <t>Cuenta confirmada por Joel — verificar en próximo barrido</t>
        </is>
      </c>
      <c r="K18" s="9" t="inlineStr">
        <is>
          <t>1er DM: sin adjuntos. Tras cualificar (nivel + vídeo): ficha Always-Up-Becas-EEUU.pdf (2 págs, en español, pensada para móvil, sin precio). NUNCA el deck de University Soccer. Llamada: Calendly.</t>
        </is>
      </c>
    </row>
    <row r="19" ht="42" customHeight="1" s="52">
      <c r="A19" s="4" t="inlineStr">
        <is>
          <t>Juan Roberto / juan_roberto_16</t>
        </is>
      </c>
      <c r="B19" s="4" t="n"/>
      <c r="C19" s="4" t="n"/>
      <c r="D19" s="4" t="n"/>
      <c r="E19" s="4" t="inlineStr">
        <is>
          <t>Nuevo</t>
        </is>
      </c>
      <c r="F19" s="4" t="inlineStr">
        <is>
          <t>No</t>
        </is>
      </c>
      <c r="G19" s="4" t="inlineStr">
        <is>
          <t>No — respuesta muy breve</t>
        </is>
      </c>
      <c r="H19" s="9" t="inlineStr">
        <is>
          <t>Verificar que el mensaje le llegó bien (aviso de cuenta restringida)</t>
        </is>
      </c>
      <c r="I19" s="4" t="inlineStr">
        <is>
          <t>2026-08</t>
        </is>
      </c>
      <c r="J19" s="9" t="n"/>
      <c r="K19" s="9" t="inlineStr">
        <is>
          <t>1er DM: sin adjuntos. Tras cualificar (nivel + vídeo): ficha Always-Up-Becas-EEUU.pdf (2 págs, en español, pensada para móvil, sin precio). NUNCA el deck de University Soccer. Llamada: Calendly.</t>
        </is>
      </c>
    </row>
    <row r="20" ht="60" customHeight="1" s="52">
      <c r="A20" s="4" t="inlineStr">
        <is>
          <t>Daniel / Instagram: Danny (confirmar @usuario exacto)</t>
        </is>
      </c>
      <c r="B20" s="4" t="inlineStr">
        <is>
          <t>17 (nacido sept. 2009)</t>
        </is>
      </c>
      <c r="C20" s="4" t="inlineStr">
        <is>
          <t>España (recién mudado desde EEUU, ciudad por confirmar)</t>
        </is>
      </c>
      <c r="D20" s="4" t="inlineStr">
        <is>
          <t>Jugó MLS NEXT U17 el año pasado en EEUU (nivel alto) — posición por confirmar</t>
        </is>
      </c>
      <c r="E20" s="4" t="inlineStr">
        <is>
          <t>Cualificado</t>
        </is>
      </c>
      <c r="F20" s="4" t="inlineStr">
        <is>
          <t>No pedido todavía</t>
        </is>
      </c>
      <c r="G20" s="4" t="inlineStr">
        <is>
          <t>Sí — nivel MLS NEXT es señal fuerte, falta confirmar posición y club actual</t>
        </is>
      </c>
      <c r="H20" s="9" t="inlineStr">
        <is>
          <t>Follow-up enviado el 14/10. Si no responde el 21/10: pasar a Frío y no insistir.</t>
        </is>
      </c>
      <c r="I20" s="101" t="n">
        <v>46309</v>
      </c>
      <c r="J20" s="9" t="inlineStr">
        <is>
          <t>Pregunta genuina sobre 1º vs 2º de Bachillerato y elegibilidad NCAA — no se improvisó respuesta, se remitió a la evaluación completa con el equipo especializado. Edad+plazo+nivel ya fuertes antes incluso de pedir vídeo. | 14/10: sin respuesta desde el 21/09 (3 semanas). Un solo follow-up.</t>
        </is>
      </c>
      <c r="K20" s="9" t="inlineStr">
        <is>
          <t>1er DM: sin adjuntos. Tras cualificar (nivel + vídeo): ficha Always-Up-Becas-EEUU.pdf (2 págs, en español, pensada para móvil, sin precio). NUNCA el deck de University Soccer. Llamada: Calendly.</t>
        </is>
      </c>
    </row>
  </sheetData>
  <autoFilter ref="A5:K20"/>
  <mergeCells count="3">
    <mergeCell ref="A3:J4"/>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10" defaultColWidth="8.83203125" defaultRowHeight="15"/>
  <cols>
    <col width="22" customWidth="1" style="52" min="1" max="1"/>
    <col width="20" customWidth="1" style="52" min="2" max="2"/>
    <col width="16" customWidth="1" style="52" min="3" max="4"/>
    <col width="18" customWidth="1" style="52" min="5" max="5"/>
    <col width="20" customWidth="1" style="52" min="6" max="6"/>
    <col width="14" customWidth="1" style="52" min="7" max="7"/>
    <col width="12" customWidth="1" style="52" min="8" max="8"/>
  </cols>
  <sheetData>
    <row r="1" ht="18" customHeight="1" s="52">
      <c r="A1" s="55" t="inlineStr">
        <is>
          <t>Dashboard — funnel por línea de negocio</t>
        </is>
      </c>
    </row>
    <row r="2">
      <c r="A2" s="56" t="inlineStr">
        <is>
          <t>Estado actual de cada línea. Actualizar Estado/Etapa en las pestañas de segmento — esto se recalcula solo.</t>
        </is>
      </c>
    </row>
    <row r="3" ht="60" customHeight="1" s="52">
      <c r="A3" s="58" t="inlineStr">
        <is>
          <t>Esto es una FOTO del estado ACTUAL de cada lead (cuántos están ahora mismo en cada estado), no un histórico acumulado de conversión — para eso haría falta guardar fecha de cada cambio de estado, cosa que no hacemos todavía. Sirve igual para ver dónde se acumulan los leads y detectar el cuello de botella real.</t>
        </is>
      </c>
    </row>
    <row r="4"/>
    <row r="6">
      <c r="A6" s="8" t="inlineStr">
        <is>
          <t>TEAM EXPERIENCE  (Segmento A + Segmento B)</t>
        </is>
      </c>
    </row>
    <row r="7">
      <c r="A7" s="3" t="inlineStr">
        <is>
          <t>Pendiente investigar</t>
        </is>
      </c>
      <c r="B7" s="3" t="inlineStr">
        <is>
          <t>Listo para enviar</t>
        </is>
      </c>
      <c r="C7" s="3" t="inlineStr">
        <is>
          <t>Enviado</t>
        </is>
      </c>
      <c r="D7" s="3" t="inlineStr">
        <is>
          <t>Respondido</t>
        </is>
      </c>
      <c r="E7" s="3" t="inlineStr">
        <is>
          <t>Llamada agendada</t>
        </is>
      </c>
      <c r="F7" s="3" t="inlineStr">
        <is>
          <t>Llamada realizada</t>
        </is>
      </c>
      <c r="G7" s="3" t="inlineStr">
        <is>
          <t>Cerrado</t>
        </is>
      </c>
      <c r="H7" s="3" t="inlineStr">
        <is>
          <t>Perdido</t>
        </is>
      </c>
    </row>
    <row r="8">
      <c r="A8" s="4">
        <f>COUNTIF('Segmento A - Clubes'!I2:I300,"Pendiente investigar")+COUNTIF('Segmento B - America'!H2:H300,"Pendiente investigar")</f>
        <v/>
      </c>
      <c r="B8" s="4">
        <f>COUNTIF('Segmento A - Clubes'!I2:I300,"Listo para enviar")+COUNTIF('Segmento B - America'!H2:H300,"Listo para enviar")</f>
        <v/>
      </c>
      <c r="C8" s="4">
        <f>COUNTIF('Segmento A - Clubes'!I2:I300,"Enviado")+COUNTIF('Segmento B - America'!H2:H300,"Enviado")</f>
        <v/>
      </c>
      <c r="D8" s="4">
        <f>COUNTIF('Segmento A - Clubes'!I2:I300,"Respondido")+COUNTIF('Segmento B - America'!H2:H300,"Respondido")</f>
        <v/>
      </c>
      <c r="E8" s="4">
        <f>COUNTIF('Segmento A - Clubes'!I2:I300,"Llamada agendada")+COUNTIF('Segmento B - America'!H2:H300,"Llamada agendada")</f>
        <v/>
      </c>
      <c r="F8" s="4">
        <f>COUNTIF('Segmento A - Clubes'!I2:I300,"Llamada realizada")+COUNTIF('Segmento B - America'!H2:H300,"Llamada realizada")</f>
        <v/>
      </c>
      <c r="G8" s="4">
        <f>COUNTIF('Segmento A - Clubes'!I2:I300,"Cerrado")+COUNTIF('Segmento B - America'!H2:H300,"Cerrado")</f>
        <v/>
      </c>
      <c r="H8" s="4">
        <f>COUNTIF('Segmento A - Clubes'!I2:I300,"Perdido")+COUNTIF('Segmento B - America'!H2:H300,"Perdido")</f>
        <v/>
      </c>
    </row>
    <row r="10">
      <c r="A10" s="8" t="inlineStr">
        <is>
          <t>BECAS  (Segmento C)</t>
        </is>
      </c>
    </row>
    <row r="11" ht="28" customHeight="1" s="52">
      <c r="A11" s="3" t="inlineStr">
        <is>
          <t>Nuevo</t>
        </is>
      </c>
      <c r="B11" s="3" t="inlineStr">
        <is>
          <t>Cualificado</t>
        </is>
      </c>
      <c r="C11" s="3" t="inlineStr">
        <is>
          <t>Llamada agendada</t>
        </is>
      </c>
      <c r="D11" s="3" t="inlineStr">
        <is>
          <t>Llamada realizada</t>
        </is>
      </c>
      <c r="E11" s="3" t="inlineStr">
        <is>
          <t>Cerrado</t>
        </is>
      </c>
      <c r="F11" s="3" t="inlineStr">
        <is>
          <t>Perdido</t>
        </is>
      </c>
    </row>
    <row r="12">
      <c r="A12" s="4">
        <f>COUNTIF('Segmento C - Becas'!E2:E300,"Nuevo")</f>
        <v/>
      </c>
      <c r="B12" s="4">
        <f>COUNTIF('Segmento C - Becas'!E2:E300,"Cualificado")</f>
        <v/>
      </c>
      <c r="C12" s="4">
        <f>COUNTIF('Segmento C - Becas'!E2:E300,"Llamada agendada")</f>
        <v/>
      </c>
      <c r="D12" s="4">
        <f>COUNTIF('Segmento C - Becas'!E2:E300,"Llamada realizada")</f>
        <v/>
      </c>
      <c r="E12" s="4">
        <f>COUNTIF('Segmento C - Becas'!E2:E300,"Cerrado")</f>
        <v/>
      </c>
      <c r="F12" s="4">
        <f>COUNTIF('Segmento C - Becas'!E2:E300,"Perdido")</f>
        <v/>
      </c>
    </row>
    <row r="14">
      <c r="A14" s="8" t="inlineStr">
        <is>
          <t>INTERNATIONAL PROGRAM (Real Sociedad)</t>
        </is>
      </c>
    </row>
    <row r="15">
      <c r="A15" s="58" t="inlineStr">
        <is>
          <t>0 leads activos todavía — esta sección se activa con el primer lead real. Ver lineas-de-negocio.md línea 3. No crear pestaña de seguimiento hasta entonces.</t>
        </is>
      </c>
    </row>
    <row r="17">
      <c r="A17" s="8" t="inlineStr">
        <is>
          <t>PLAYER OPPORTUNITIES (Alemania/España) Y PLAYER DEVELOPMENT</t>
        </is>
      </c>
    </row>
    <row r="18">
      <c r="A18" s="58" t="inlineStr">
        <is>
          <t>Sin funnel activo — decisión explícita de Joel de no priorizar hasta tener un cliente/jugador real interesado (lineas-de-negocio.md líneas 4 y 6). Si preguntan, ver manual-embudo-ventas.md para el guion de respuesta correcto (nunca prometer prueba/contrato garantizado).</t>
        </is>
      </c>
    </row>
  </sheetData>
  <mergeCells count="5">
    <mergeCell ref="A18:H18"/>
    <mergeCell ref="A3:H4"/>
    <mergeCell ref="A15:H15"/>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10" defaultColWidth="8.83203125" defaultRowHeight="15"/>
  <cols>
    <col width="14" customWidth="1" style="52" min="1" max="1"/>
    <col width="20" customWidth="1" style="52" min="2" max="2"/>
    <col width="26" customWidth="1" style="52" min="3" max="3"/>
    <col width="30" customWidth="1" style="52" min="4" max="4"/>
    <col width="18" customWidth="1" style="52" min="5" max="5"/>
    <col width="40" customWidth="1" style="52" min="6" max="6"/>
  </cols>
  <sheetData>
    <row r="1" ht="18" customHeight="1" s="52">
      <c r="A1" s="55" t="inlineStr">
        <is>
          <t>LinkedIn — plan diario</t>
        </is>
      </c>
    </row>
    <row r="2">
      <c r="A2" s="56" t="inlineStr">
        <is>
          <t>Rellenar cada día que trabajes outreach.</t>
        </is>
      </c>
    </row>
    <row r="3" ht="60" customHeight="1" s="52">
      <c r="A3" s="58" t="inlineStr">
        <is>
          <t>ACTIVA desde el 28/09/2026 — perfil de LinkedIn terminado (titular, experiencia, foto). Semana 1 (28/09-04/10): 5-10 conexiones/día con gente conocida (Mercy, Mount Aloysius, fútbol en España), sin vender nada, para construir base real antes de contactar decisores. Semana 2 en adelante: 5 conexiones/día a decisores reales de Segmento A/B (crm-ventas.xlsx), nota corta con señal real, ver plan-ventas-maestro.md sección 4.</t>
        </is>
      </c>
    </row>
    <row r="4"/>
    <row r="5" ht="28" customHeight="1" s="52">
      <c r="A5" s="3" t="inlineStr">
        <is>
          <t>Fecha</t>
        </is>
      </c>
      <c r="B5" s="3" t="inlineStr">
        <is>
          <t>Emails enviados (meta 5)</t>
        </is>
      </c>
      <c r="C5" s="3" t="inlineStr">
        <is>
          <t>Búsquedas nuevas cualificadas (meta 5)</t>
        </is>
      </c>
      <c r="D5" s="3" t="inlineStr">
        <is>
          <t>Conexiones LinkedIn con mensaje personalizado (meta 5)</t>
        </is>
      </c>
      <c r="E5" s="3" t="inlineStr">
        <is>
          <t>Respuestas recibidas</t>
        </is>
      </c>
      <c r="F5" s="3" t="inlineStr">
        <is>
          <t>Notas</t>
        </is>
      </c>
    </row>
    <row r="6">
      <c r="A6" s="4" t="n"/>
      <c r="B6" s="4" t="n"/>
      <c r="C6" s="4" t="n"/>
      <c r="D6" s="4" t="n"/>
      <c r="E6" s="4" t="n"/>
      <c r="F6" s="9" t="n"/>
    </row>
    <row r="7">
      <c r="A7" s="4" t="n"/>
      <c r="B7" s="4" t="n"/>
      <c r="C7" s="4" t="n"/>
      <c r="D7" s="4" t="n"/>
      <c r="E7" s="4" t="n"/>
      <c r="F7" s="9" t="n"/>
    </row>
    <row r="8">
      <c r="A8" s="4" t="n"/>
      <c r="B8" s="4" t="n"/>
      <c r="C8" s="4" t="n"/>
      <c r="D8" s="4" t="n"/>
      <c r="E8" s="4" t="n"/>
      <c r="F8" s="9" t="n"/>
    </row>
    <row r="9">
      <c r="A9" s="4" t="n"/>
      <c r="B9" s="4" t="n"/>
      <c r="C9" s="4" t="n"/>
      <c r="D9" s="4" t="n"/>
      <c r="E9" s="4" t="n"/>
      <c r="F9" s="9" t="n"/>
    </row>
    <row r="10">
      <c r="A10" s="4" t="n"/>
      <c r="B10" s="4" t="n"/>
      <c r="C10" s="4" t="n"/>
      <c r="D10" s="4" t="n"/>
      <c r="E10" s="4" t="n"/>
      <c r="F10" s="9" t="n"/>
    </row>
    <row r="11">
      <c r="A11" s="4" t="n"/>
      <c r="B11" s="4" t="n"/>
      <c r="C11" s="4" t="n"/>
      <c r="D11" s="4" t="n"/>
      <c r="E11" s="4" t="n"/>
      <c r="F11" s="9" t="n"/>
    </row>
    <row r="12">
      <c r="A12" s="4" t="n"/>
      <c r="B12" s="4" t="n"/>
      <c r="C12" s="4" t="n"/>
      <c r="D12" s="4" t="n"/>
      <c r="E12" s="4" t="n"/>
      <c r="F12" s="9" t="n"/>
    </row>
    <row r="13">
      <c r="A13" s="4" t="inlineStr">
        <is>
          <t>Total semana</t>
        </is>
      </c>
      <c r="B13" s="4">
        <f>SUM(B6:B12)</f>
        <v/>
      </c>
      <c r="C13" s="4">
        <f>SUM(C6:C12)</f>
        <v/>
      </c>
      <c r="D13" s="4">
        <f>SUM(D6:D12)</f>
        <v/>
      </c>
      <c r="E13" s="4">
        <f>SUM(E6:E12)</f>
        <v/>
      </c>
      <c r="F13" s="4" t="n"/>
    </row>
  </sheetData>
  <mergeCells count="3">
    <mergeCell ref="A2:F2"/>
    <mergeCell ref="A3:F4"/>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10" defaultColWidth="8.83203125" defaultRowHeight="15"/>
  <cols>
    <col width="14" customWidth="1" style="52" min="1" max="1"/>
    <col width="26" customWidth="1" style="52" min="2" max="2"/>
    <col width="40" customWidth="1" style="52" min="3" max="3"/>
    <col width="22" customWidth="1" style="52" min="4" max="4"/>
    <col width="40" customWidth="1" style="52" min="5" max="5"/>
    <col width="20" customWidth="1" style="52" min="6" max="6"/>
  </cols>
  <sheetData>
    <row r="1" ht="18" customHeight="1" s="52">
      <c r="A1" s="55" t="inlineStr">
        <is>
          <t>Oportunidades y notas sueltas</t>
        </is>
      </c>
    </row>
    <row r="2">
      <c r="A2" s="56" t="inlineStr">
        <is>
          <t>Ideas que surgen investigando, sin operativa de venta propia todavía.</t>
        </is>
      </c>
    </row>
    <row r="3" ht="30" customHeight="1" s="52">
      <c r="A3" s="58" t="inlineStr">
        <is>
          <t>Backlog ligero para líneas que aún no tienen operativa propia de venta — no crear pestañas dedicadas hasta que Joel las eleve de prioridad (ver roadmap-maestro.md).</t>
        </is>
      </c>
    </row>
    <row r="4">
      <c r="A4" s="3" t="inlineStr">
        <is>
          <t>Fecha</t>
        </is>
      </c>
      <c r="B4" s="3" t="inlineStr">
        <is>
          <t>Área</t>
        </is>
      </c>
      <c r="C4" s="3" t="inlineStr">
        <is>
          <t>Idea/Oportunidad</t>
        </is>
      </c>
      <c r="D4" s="3" t="inlineStr">
        <is>
          <t>Origen</t>
        </is>
      </c>
      <c r="E4" s="3" t="inlineStr">
        <is>
          <t>Siguiente paso</t>
        </is>
      </c>
      <c r="F4" s="3" t="inlineStr">
        <is>
          <t>Estado</t>
        </is>
      </c>
    </row>
    <row r="5" ht="28" customHeight="1" s="52">
      <c r="A5" s="4" t="inlineStr">
        <is>
          <t>2026-08</t>
        </is>
      </c>
      <c r="B5" s="4" t="inlineStr">
        <is>
          <t>International Program (Real Sociedad)</t>
        </is>
      </c>
      <c r="C5" s="9" t="inlineStr">
        <is>
          <t>Cerrar % de comisión con la Real Sociedad</t>
        </is>
      </c>
      <c r="D5" s="4" t="inlineStr">
        <is>
          <t>roadmap-maestro.md #6</t>
        </is>
      </c>
      <c r="E5" s="9" t="inlineStr">
        <is>
          <t>Bajado de prioridad — no mueve el cuello de botella actual</t>
        </is>
      </c>
      <c r="F5" s="4" t="inlineStr">
        <is>
          <t>En espera</t>
        </is>
      </c>
    </row>
    <row r="6" ht="28" customHeight="1" s="52">
      <c r="A6" s="4" t="inlineStr">
        <is>
          <t>2026-08</t>
        </is>
      </c>
      <c r="B6" s="4" t="inlineStr">
        <is>
          <t>Puerto Rico / SADE Soccer Academy</t>
        </is>
      </c>
      <c r="C6" s="9" t="inlineStr">
        <is>
          <t>Showcase conectado a la Real Sociedad, facilitado por David</t>
        </is>
      </c>
      <c r="D6" s="4" t="inlineStr">
        <is>
          <t>lineas-de-negocio.md</t>
        </is>
      </c>
      <c r="E6" s="9" t="inlineStr">
        <is>
          <t>Confirmado que pasa por Always Up — seguir según avance David</t>
        </is>
      </c>
      <c r="F6" s="4" t="inlineStr">
        <is>
          <t>En marcha (fuera de Joel)</t>
        </is>
      </c>
    </row>
    <row r="7">
      <c r="A7" s="4" t="inlineStr">
        <is>
          <t>2026-07</t>
        </is>
      </c>
      <c r="B7" s="4" t="inlineStr">
        <is>
          <t>Alemania/España</t>
        </is>
      </c>
      <c r="C7" s="9" t="inlineStr">
        <is>
          <t>Oportunidades profesionales — objetivo 2027</t>
        </is>
      </c>
      <c r="D7" s="4" t="inlineStr">
        <is>
          <t>CLAUDE.md</t>
        </is>
      </c>
      <c r="E7" s="9" t="inlineStr">
        <is>
          <t>Sin estructurar todavía, no es foco actual</t>
        </is>
      </c>
      <c r="F7" s="4" t="inlineStr">
        <is>
          <t>Sin empezar</t>
        </is>
      </c>
    </row>
    <row r="8" ht="28" customHeight="1" s="52">
      <c r="A8" s="4" t="inlineStr">
        <is>
          <t>2026-07</t>
        </is>
      </c>
      <c r="B8" s="4" t="inlineStr">
        <is>
          <t>Always Up Player Development</t>
        </is>
      </c>
      <c r="C8" s="9" t="inlineStr">
        <is>
          <t>Academia de formación de jugadores (línea 6)</t>
        </is>
      </c>
      <c r="D8" s="4" t="inlineStr">
        <is>
          <t>lineas-de-negocio.md</t>
        </is>
      </c>
      <c r="E8" s="9" t="inlineStr">
        <is>
          <t>Ritmo propio, ligado a marca personal — sesión aparte</t>
        </is>
      </c>
      <c r="F8" s="4" t="inlineStr">
        <is>
          <t>Sin empezar</t>
        </is>
      </c>
    </row>
    <row r="9" ht="42" customHeight="1" s="52">
      <c r="A9" s="4" t="inlineStr">
        <is>
          <t>2026-08-29</t>
        </is>
      </c>
      <c r="B9" s="4" t="inlineStr">
        <is>
          <t>Segmento B (NCAA)</t>
        </is>
      </c>
      <c r="C9" s="9" t="inlineStr">
        <is>
          <t>Programas NCAA D2/D3 sin partnership de tours visible</t>
        </is>
      </c>
      <c r="D9" s="4" t="inlineStr">
        <is>
          <t>plan-ventas-maestro.md</t>
        </is>
      </c>
      <c r="E9" s="9" t="inlineStr">
        <is>
          <t>Requiere sesión de investigación dedicada — búsqueda rápida no encontró candidatos concretos</t>
        </is>
      </c>
      <c r="F9" s="4" t="inlineStr">
        <is>
          <t>Pendiente investigación</t>
        </is>
      </c>
    </row>
  </sheetData>
  <autoFilter ref="A4:F9"/>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2026-08-30T00:11:47Z</dcterms:created>
  <dcterms:modified xmlns:dcterms="http://purl.org/dc/terms/" xmlns:xsi="http://www.w3.org/2001/XMLSchema-instance" xsi:type="dcterms:W3CDTF">2026-10-15T14:10:13Z</dcterms:modified>
  <cp:lastModifiedBy>Joel Martinez SR</cp:lastModifiedBy>
</cp:coreProperties>
</file>