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Dashboard" sheetId="2" state="visible" r:id="rId2"/>
    <sheet name="Segmento A - Clubes" sheetId="3" state="visible" r:id="rId3"/>
    <sheet name="Segmento B - America" sheetId="4" state="visible" r:id="rId4"/>
    <sheet name="Segmento C - Becas" sheetId="5" state="visible" r:id="rId5"/>
    <sheet name="LinkedIn - Plan diario" sheetId="6" state="visible" r:id="rId6"/>
    <sheet name="Oportunidades y notas" sheetId="7" state="visible" r:id="rId7"/>
  </sheets>
  <definedNames>
    <definedName name="_xlnm._FilterDatabase" localSheetId="2" hidden="1">'Segmento A - Clubes'!$A$5:$O$17</definedName>
    <definedName name="_xlnm._FilterDatabase" localSheetId="3" hidden="1">'Segmento B - America'!$A$5:$N$13</definedName>
    <definedName name="_xlnm._FilterDatabase" localSheetId="4" hidden="1">'Segmento C - Becas'!$A$5:$J$19</definedName>
    <definedName name="_xlnm._FilterDatabase" localSheetId="6" hidden="1">'Oportunidades y notas'!$A$4:$F$9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b val="1"/>
      <color rgb="00C00000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2"/>
    </font>
    <font>
      <name val="Arial"/>
      <b val="1"/>
      <sz val="10"/>
    </font>
    <font>
      <name val="Arial"/>
      <i val="1"/>
      <color rgb="007F6000"/>
      <sz val="9"/>
    </font>
    <font>
      <name val="Arial"/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7" fillId="0" borderId="0" pivotButton="0" quotePrefix="0" xfId="0"/>
    <xf numFmtId="0" fontId="6" fillId="3" borderId="1" applyAlignment="1" pivotButton="0" quotePrefix="0" xfId="0">
      <alignment vertical="top"/>
    </xf>
    <xf numFmtId="0" fontId="8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12" customWidth="1" min="7" max="7"/>
  </cols>
  <sheetData>
    <row r="1">
      <c r="A1" s="1" t="inlineStr">
        <is>
          <t>Plan de ventas — panel diario Always Up</t>
        </is>
      </c>
    </row>
    <row r="2">
      <c r="A2" s="2" t="inlineStr">
        <is>
          <t>Actualizar cada día de trabajo. Fecha de última actualización:</t>
        </is>
      </c>
      <c r="E2" s="3">
        <f>TODAY()</f>
        <v/>
      </c>
    </row>
    <row r="4">
      <c r="A4" s="4" t="inlineStr">
        <is>
          <t>🔴 URGENTE — mirar esto primero</t>
        </is>
      </c>
    </row>
    <row r="5">
      <c r="A5" s="5" t="inlineStr">
        <is>
          <t>Qué</t>
        </is>
      </c>
      <c r="B5" s="5" t="inlineStr">
        <is>
          <t>Cuántos ahora (se calcula solo)</t>
        </is>
      </c>
    </row>
    <row r="6">
      <c r="A6" s="6" t="inlineStr">
        <is>
          <t>Follow-ups de clubes atrasados (enviado hace más de 10 días, sin respuesta)</t>
        </is>
      </c>
      <c r="B6" s="6">
        <f>COUNTIFS('Segmento A - Clubes'!I2:I300,"Enviado",'Segmento A - Clubes'!M2:M300,"&lt;&gt;",'Segmento A - Clubes'!M2:M300,"&lt;"&amp;(TODAY()-10))+COUNTIFS('Segmento B - America'!H2:H300,"Enviado",'Segmento B - America'!L2:L300,"&lt;&gt;",'Segmento B - America'!L2:L300,"&lt;"&amp;(TODAY()-10))</f>
        <v/>
      </c>
    </row>
    <row r="7">
      <c r="A7" s="6" t="inlineStr">
        <is>
          <t>Leads de becas con llamada agendada (confirmar/preparar)</t>
        </is>
      </c>
      <c r="B7" s="6">
        <f>COUNTIF('Segmento C - Becas'!E2:E300,"Llamada agendada")</f>
        <v/>
      </c>
    </row>
    <row r="8">
      <c r="A8" s="6" t="inlineStr">
        <is>
          <t>Leads de becas cualificados sin próxima acción clara desde hace tiempo (revisar a mano)</t>
        </is>
      </c>
      <c r="B8" s="6">
        <f>COUNTIF('Segmento C - Becas'!E2:E300,"Cualificado")</f>
        <v/>
      </c>
    </row>
    <row r="10">
      <c r="A10" s="7" t="inlineStr">
        <is>
          <t>🟠 OUTBOUND — lo que generas tú hoy</t>
        </is>
      </c>
    </row>
    <row r="11">
      <c r="A11" s="5" t="inlineStr">
        <is>
          <t>Métrica</t>
        </is>
      </c>
      <c r="B11" s="5" t="inlineStr">
        <is>
          <t>Meta diaria</t>
        </is>
      </c>
      <c r="C11" s="5" t="inlineStr">
        <is>
          <t>Hecho hoy (rellenar tú)</t>
        </is>
      </c>
    </row>
    <row r="12">
      <c r="A12" s="6" t="inlineStr">
        <is>
          <t>Nuevos clubes/academias investigados</t>
        </is>
      </c>
      <c r="B12" s="6" t="n">
        <v>5</v>
      </c>
      <c r="C12" s="8" t="n"/>
    </row>
    <row r="13">
      <c r="A13" s="6" t="inlineStr">
        <is>
          <t>Emails de outreach enviados</t>
        </is>
      </c>
      <c r="B13" s="6" t="n">
        <v>5</v>
      </c>
      <c r="C13" s="8" t="n"/>
    </row>
    <row r="14">
      <c r="A14" s="6" t="inlineStr">
        <is>
          <t>Conexiones de LinkedIn con mensaje personalizado</t>
        </is>
      </c>
      <c r="B14" s="6" t="n">
        <v>5</v>
      </c>
      <c r="C14" s="8" t="n"/>
    </row>
    <row r="17">
      <c r="A17" s="7" t="inlineStr">
        <is>
          <t>🟢 INBOUND — lo que te llega a ti</t>
        </is>
      </c>
    </row>
    <row r="18">
      <c r="A18" s="5" t="inlineStr">
        <is>
          <t>Qué</t>
        </is>
      </c>
      <c r="B18" s="5" t="inlineStr">
        <is>
          <t>Cuántos ahora (se calcula solo)</t>
        </is>
      </c>
    </row>
    <row r="19">
      <c r="A19" s="6" t="inlineStr">
        <is>
          <t>Leads de becas nuevos sin cualificar todavía</t>
        </is>
      </c>
      <c r="B19" s="6">
        <f>COUNTIF('Segmento C - Becas'!E2:E300,"Nuevo")</f>
        <v/>
      </c>
    </row>
    <row r="21">
      <c r="A21" s="7" t="inlineStr">
        <is>
          <t>📊 PIPELINE — resumen por segmento (detalle completo en pestaña Dashboard)</t>
        </is>
      </c>
    </row>
    <row r="22">
      <c r="A22" s="5" t="inlineStr">
        <is>
          <t>Segmento</t>
        </is>
      </c>
      <c r="B22" s="5" t="inlineStr">
        <is>
          <t>Total en lista</t>
        </is>
      </c>
      <c r="C22" s="5" t="inlineStr">
        <is>
          <t>Listo para enviar</t>
        </is>
      </c>
      <c r="D22" s="5" t="inlineStr">
        <is>
          <t>Enviado</t>
        </is>
      </c>
      <c r="E22" s="5" t="inlineStr">
        <is>
          <t>Respondido</t>
        </is>
      </c>
      <c r="F22" s="5" t="inlineStr">
        <is>
          <t>Llamada agendada</t>
        </is>
      </c>
      <c r="G22" s="5" t="inlineStr">
        <is>
          <t>Cerrado</t>
        </is>
      </c>
    </row>
    <row r="23">
      <c r="A23" s="6" t="inlineStr">
        <is>
          <t>Segmento A — Clubes juveniles</t>
        </is>
      </c>
      <c r="B23" s="6">
        <f>COUNTA('Segmento A - Clubes'!A2:A300)</f>
        <v/>
      </c>
      <c r="C23" s="6">
        <f>COUNTIF('Segmento A - Clubes'!I2:I300,"Listo para enviar")</f>
        <v/>
      </c>
      <c r="D23" s="6">
        <f>COUNTIF('Segmento A - Clubes'!I2:I300,"Enviado")</f>
        <v/>
      </c>
      <c r="E23" s="6">
        <f>COUNTIF('Segmento A - Clubes'!I2:I300,"Respondido")</f>
        <v/>
      </c>
      <c r="F23" s="6">
        <f>COUNTIF('Segmento A - Clubes'!I2:I300,"Llamada agendada")</f>
        <v/>
      </c>
      <c r="G23" s="6">
        <f>COUNTIF('Segmento A - Clubes'!I2:I300,"Cerrado")</f>
        <v/>
      </c>
    </row>
    <row r="24">
      <c r="A24" s="6" t="inlineStr">
        <is>
          <t>Segmento B — Univ./clubes América</t>
        </is>
      </c>
      <c r="B24" s="6">
        <f>COUNTA('Segmento B - America'!A2:A300)</f>
        <v/>
      </c>
      <c r="C24" s="6">
        <f>COUNTIF('Segmento B - America'!H2:H300,"Listo para enviar")</f>
        <v/>
      </c>
      <c r="D24" s="6">
        <f>COUNTIF('Segmento B - America'!H2:H300,"Enviado")</f>
        <v/>
      </c>
      <c r="E24" s="6">
        <f>COUNTIF('Segmento B - America'!H2:H300,"Respondido")</f>
        <v/>
      </c>
      <c r="F24" s="6">
        <f>COUNTIF('Segmento B - America'!H2:H300,"Llamada agendada")</f>
        <v/>
      </c>
      <c r="G24" s="6">
        <f>COUNTIF('Segmento B - America'!H2:H300,"Cerrado")</f>
        <v/>
      </c>
    </row>
    <row r="26">
      <c r="A26" s="9" t="inlineStr">
        <is>
          <t>Segmento C — Becas</t>
        </is>
      </c>
    </row>
    <row r="27">
      <c r="A27" s="5" t="inlineStr">
        <is>
          <t>Etapa</t>
        </is>
      </c>
      <c r="B27" s="5" t="inlineStr">
        <is>
          <t>Total</t>
        </is>
      </c>
    </row>
    <row r="28">
      <c r="A28" s="6" t="inlineStr">
        <is>
          <t>Nuevo</t>
        </is>
      </c>
      <c r="B28" s="6">
        <f>COUNTIF('Segmento C - Becas'!E2:E300,"Nuevo")</f>
        <v/>
      </c>
    </row>
    <row r="29">
      <c r="A29" s="6" t="inlineStr">
        <is>
          <t>Cualificado</t>
        </is>
      </c>
      <c r="B29" s="6">
        <f>COUNTIF('Segmento C - Becas'!E2:E300,"Cualificado")</f>
        <v/>
      </c>
    </row>
    <row r="30">
      <c r="A30" s="6" t="inlineStr">
        <is>
          <t>Llamada agendada</t>
        </is>
      </c>
      <c r="B30" s="6">
        <f>COUNTIF('Segmento C - Becas'!E2:E300,"Llamada agendada")</f>
        <v/>
      </c>
    </row>
    <row r="31">
      <c r="A31" s="6" t="inlineStr">
        <is>
          <t>Llamada realizada</t>
        </is>
      </c>
      <c r="B31" s="6">
        <f>COUNTIF('Segmento C - Becas'!E2:E300,"Llamada realizada")</f>
        <v/>
      </c>
    </row>
    <row r="32">
      <c r="A32" s="6" t="inlineStr">
        <is>
          <t>Cerrado</t>
        </is>
      </c>
      <c r="B32" s="6">
        <f>COUNTIF('Segmento C - Becas'!E2:E300,"Cerrado")</f>
        <v/>
      </c>
    </row>
    <row r="33">
      <c r="A33" s="6" t="inlineStr">
        <is>
          <t>Perdido</t>
        </is>
      </c>
      <c r="B33" s="6">
        <f>COUNTIF('Segmento C - Becas'!E2:E300,"Perdido")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6" customWidth="1" min="4" max="4"/>
    <col width="18" customWidth="1" min="5" max="5"/>
    <col width="20" customWidth="1" min="6" max="6"/>
    <col width="14" customWidth="1" min="7" max="7"/>
    <col width="12" customWidth="1" min="8" max="8"/>
  </cols>
  <sheetData>
    <row r="1">
      <c r="A1" s="1" t="inlineStr">
        <is>
          <t>Dashboard — funnel por línea de negocio</t>
        </is>
      </c>
    </row>
    <row r="2">
      <c r="A2" s="2" t="inlineStr">
        <is>
          <t>Estado actual de cada línea. Actualizar Estado/Etapa en las pestañas de segmento — esto se recalcula solo.</t>
        </is>
      </c>
    </row>
    <row r="3" ht="60" customHeight="1">
      <c r="A3" s="10" t="inlineStr">
        <is>
          <t>Esto es una FOTO del estado ACTUAL de cada lead (cuántos están ahora mismo en cada estado), no un histórico acumulado de conversión — para eso haría falta guardar fecha de cada cambio de estado, cosa que no hacemos todavía. Sirve igual para ver dónde se acumulan los leads y detectar el cuello de botella real.</t>
        </is>
      </c>
    </row>
    <row r="4"/>
    <row r="6">
      <c r="A6" s="11" t="inlineStr">
        <is>
          <t>TEAM EXPERIENCE  (Segmento A + Segmento B)</t>
        </is>
      </c>
    </row>
    <row r="7">
      <c r="A7" s="5" t="inlineStr">
        <is>
          <t>Pendiente investigar</t>
        </is>
      </c>
      <c r="B7" s="5" t="inlineStr">
        <is>
          <t>Listo para enviar</t>
        </is>
      </c>
      <c r="C7" s="5" t="inlineStr">
        <is>
          <t>Enviado</t>
        </is>
      </c>
      <c r="D7" s="5" t="inlineStr">
        <is>
          <t>Respondido</t>
        </is>
      </c>
      <c r="E7" s="5" t="inlineStr">
        <is>
          <t>Llamada agendada</t>
        </is>
      </c>
      <c r="F7" s="5" t="inlineStr">
        <is>
          <t>Llamada realizada</t>
        </is>
      </c>
      <c r="G7" s="5" t="inlineStr">
        <is>
          <t>Cerrado</t>
        </is>
      </c>
      <c r="H7" s="5" t="inlineStr">
        <is>
          <t>Perdido</t>
        </is>
      </c>
    </row>
    <row r="8">
      <c r="A8" s="6">
        <f>COUNTIF('Segmento A - Clubes'!I2:I300,"Pendiente investigar")+COUNTIF('Segmento B - America'!H2:H300,"Pendiente investigar")</f>
        <v/>
      </c>
      <c r="B8" s="6">
        <f>COUNTIF('Segmento A - Clubes'!I2:I300,"Listo para enviar")+COUNTIF('Segmento B - America'!H2:H300,"Listo para enviar")</f>
        <v/>
      </c>
      <c r="C8" s="6">
        <f>COUNTIF('Segmento A - Clubes'!I2:I300,"Enviado")+COUNTIF('Segmento B - America'!H2:H300,"Enviado")</f>
        <v/>
      </c>
      <c r="D8" s="6">
        <f>COUNTIF('Segmento A - Clubes'!I2:I300,"Respondido")+COUNTIF('Segmento B - America'!H2:H300,"Respondido")</f>
        <v/>
      </c>
      <c r="E8" s="6">
        <f>COUNTIF('Segmento A - Clubes'!I2:I300,"Llamada agendada")+COUNTIF('Segmento B - America'!H2:H300,"Llamada agendada")</f>
        <v/>
      </c>
      <c r="F8" s="6">
        <f>COUNTIF('Segmento A - Clubes'!I2:I300,"Llamada realizada")+COUNTIF('Segmento B - America'!H2:H300,"Llamada realizada")</f>
        <v/>
      </c>
      <c r="G8" s="6">
        <f>COUNTIF('Segmento A - Clubes'!I2:I300,"Cerrado")+COUNTIF('Segmento B - America'!H2:H300,"Cerrado")</f>
        <v/>
      </c>
      <c r="H8" s="6">
        <f>COUNTIF('Segmento A - Clubes'!I2:I300,"Perdido")+COUNTIF('Segmento B - America'!H2:H300,"Perdido")</f>
        <v/>
      </c>
    </row>
    <row r="10">
      <c r="A10" s="11" t="inlineStr">
        <is>
          <t>BECAS  (Segmento C)</t>
        </is>
      </c>
    </row>
    <row r="11">
      <c r="A11" s="5" t="inlineStr">
        <is>
          <t>Nuevo</t>
        </is>
      </c>
      <c r="B11" s="5" t="inlineStr">
        <is>
          <t>Cualificado</t>
        </is>
      </c>
      <c r="C11" s="5" t="inlineStr">
        <is>
          <t>Llamada agendada</t>
        </is>
      </c>
      <c r="D11" s="5" t="inlineStr">
        <is>
          <t>Llamada realizada</t>
        </is>
      </c>
      <c r="E11" s="5" t="inlineStr">
        <is>
          <t>Cerrado</t>
        </is>
      </c>
      <c r="F11" s="5" t="inlineStr">
        <is>
          <t>Perdido</t>
        </is>
      </c>
    </row>
    <row r="12">
      <c r="A12" s="6">
        <f>COUNTIF('Segmento C - Becas'!E2:E300,"Nuevo")</f>
        <v/>
      </c>
      <c r="B12" s="6">
        <f>COUNTIF('Segmento C - Becas'!E2:E300,"Cualificado")</f>
        <v/>
      </c>
      <c r="C12" s="6">
        <f>COUNTIF('Segmento C - Becas'!E2:E300,"Llamada agendada")</f>
        <v/>
      </c>
      <c r="D12" s="6">
        <f>COUNTIF('Segmento C - Becas'!E2:E300,"Llamada realizada")</f>
        <v/>
      </c>
      <c r="E12" s="6">
        <f>COUNTIF('Segmento C - Becas'!E2:E300,"Cerrado")</f>
        <v/>
      </c>
      <c r="F12" s="6">
        <f>COUNTIF('Segmento C - Becas'!E2:E300,"Perdido")</f>
        <v/>
      </c>
    </row>
    <row r="14">
      <c r="A14" s="11" t="inlineStr">
        <is>
          <t>INTERNATIONAL PROGRAM (Real Sociedad)</t>
        </is>
      </c>
    </row>
    <row r="15">
      <c r="A15" s="10" t="inlineStr">
        <is>
          <t>0 leads activos todavía — esta sección se activa con el primer lead real. Ver lineas-de-negocio.md línea 3. No crear pestaña de seguimiento hasta entonces.</t>
        </is>
      </c>
    </row>
    <row r="17">
      <c r="A17" s="11" t="inlineStr">
        <is>
          <t>PLAYER OPPORTUNITIES (Alemania/España) Y PLAYER DEVELOPMENT</t>
        </is>
      </c>
    </row>
    <row r="18">
      <c r="A18" s="10" t="inlineStr">
        <is>
          <t>Sin funnel activo — decisión explícita de Joel de no priorizar hasta tener un cliente/jugador real interesado (lineas-de-negocio.md líneas 4 y 6). Si preguntan, ver manual-embudo-ventas.md para el guion de respuesta correcto (nunca prometer prueba/contrato garantizado).</t>
        </is>
      </c>
    </row>
  </sheetData>
  <mergeCells count="5">
    <mergeCell ref="A18:H18"/>
    <mergeCell ref="A3:H4"/>
    <mergeCell ref="A15:H15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30" customWidth="1" min="4" max="4"/>
    <col width="16" customWidth="1" min="5" max="5"/>
    <col width="22" customWidth="1" min="6" max="6"/>
    <col width="22" customWidth="1" min="7" max="7"/>
    <col width="20" customWidth="1" min="8" max="8"/>
    <col width="18" customWidth="1" min="9" max="9"/>
    <col width="28" customWidth="1" min="10" max="10"/>
    <col width="30" customWidth="1" min="11" max="11"/>
    <col width="45" customWidth="1" min="12" max="12"/>
    <col width="12" customWidth="1" min="13" max="13"/>
    <col width="14" customWidth="1" min="14" max="14"/>
    <col width="30" customWidth="1" min="15" max="15"/>
  </cols>
  <sheetData>
    <row r="1">
      <c r="A1" s="1" t="inlineStr">
        <is>
          <t>Segmento A — Clubes juveniles internacionales</t>
        </is>
      </c>
    </row>
    <row r="2">
      <c r="A2" s="2" t="inlineStr">
        <is>
          <t>Perfil Greystones/Homefarm: decide un entrenador o comité de club, ciclo de venta corto.</t>
        </is>
      </c>
    </row>
    <row r="3" ht="60" customHeight="1">
      <c r="A3" s="10" t="inlineStr">
        <is>
          <t>Prioridad principal (ver plan-ventas-maestro.md sección 3). Estado: usar exactamente estos valores para que las fórmulas de la pestaña Hoy funcionen — Pendiente investigar / Listo para enviar / Enviado / Respondido / Llamada agendada / Llamada realizada / Cerrado / Perdido / En negociación / Solo info.</t>
        </is>
      </c>
    </row>
    <row r="4"/>
    <row r="5">
      <c r="A5" s="5" t="inlineStr">
        <is>
          <t>Club/Academia</t>
        </is>
      </c>
      <c r="B5" s="5" t="inlineStr">
        <is>
          <t>País</t>
        </is>
      </c>
      <c r="C5" s="5" t="inlineStr">
        <is>
          <t>Categoría/Edad</t>
        </is>
      </c>
      <c r="D5" s="5" t="inlineStr">
        <is>
          <t>Motivo de interés (contrastado)</t>
        </is>
      </c>
      <c r="E5" s="5" t="inlineStr">
        <is>
          <t>Fuente</t>
        </is>
      </c>
      <c r="F5" s="5" t="inlineStr">
        <is>
          <t>Contacto (nombre)</t>
        </is>
      </c>
      <c r="G5" s="5" t="inlineStr">
        <is>
          <t>Email</t>
        </is>
      </c>
      <c r="H5" s="5" t="inlineStr">
        <is>
          <t>Teléfono</t>
        </is>
      </c>
      <c r="I5" s="5" t="inlineStr">
        <is>
          <t>Estado</t>
        </is>
      </c>
      <c r="J5" s="5" t="inlineStr">
        <is>
          <t>Próxima acción</t>
        </is>
      </c>
      <c r="K5" s="5" t="inlineStr">
        <is>
          <t>Asunto email</t>
        </is>
      </c>
      <c r="L5" s="5" t="inlineStr">
        <is>
          <t>Cuerpo email</t>
        </is>
      </c>
      <c r="M5" s="5" t="inlineStr">
        <is>
          <t>Fecha envío</t>
        </is>
      </c>
      <c r="N5" s="5" t="inlineStr">
        <is>
          <t>Fecha último contacto</t>
        </is>
      </c>
      <c r="O5" s="5" t="inlineStr">
        <is>
          <t>Notas</t>
        </is>
      </c>
    </row>
    <row r="6" ht="60" customHeight="1">
      <c r="A6" s="6" t="inlineStr">
        <is>
          <t>Home Farm FC (chicas U13-U15)</t>
        </is>
      </c>
      <c r="B6" s="6" t="inlineStr">
        <is>
          <t>Irlanda</t>
        </is>
      </c>
      <c r="C6" s="6" t="inlineStr">
        <is>
          <t>U13-U15 chicas</t>
        </is>
      </c>
      <c r="D6" s="12" t="inlineStr">
        <is>
          <t>Mismo perfil exacto que Greystones (irlandés, viaja a España)</t>
        </is>
      </c>
      <c r="E6" s="6" t="inlineStr">
        <is>
          <t>dbsportstours.com</t>
        </is>
      </c>
      <c r="F6" s="12" t="inlineStr">
        <is>
          <t>Karl Higgins (U13) / Mark Kelly (U14) / Aaron Doherty (U15)</t>
        </is>
      </c>
      <c r="G6" s="6" t="inlineStr">
        <is>
          <t>homefarmfc@gmail.com</t>
        </is>
      </c>
      <c r="H6" s="6" t="inlineStr">
        <is>
          <t>Karl 087-3838347 / Mark 085-1116953 / Aaron 087-6242781</t>
        </is>
      </c>
      <c r="I6" s="6" t="inlineStr">
        <is>
          <t>Listo para enviar</t>
        </is>
      </c>
      <c r="J6" s="12" t="inlineStr">
        <is>
          <t>Enviar el email de la columna siguiente hoy</t>
        </is>
      </c>
      <c r="K6" s="12" t="inlineStr">
        <is>
          <t>Bringing Home Farm FC to train with Atlético de Madrid &amp; Real Sociedad in Spain</t>
        </is>
      </c>
      <c r="L6" s="12" t="inlineStr">
        <is>
          <t>Hi Karl / Mark / Aaron,
I'm Joel, I run Always Up — we bring international youth clubs to Spain to train directly at the facilities of Atletico de Madrid, Real Sociedad and Sporting de Gijon.
I came across Home Farm FC's girls programme and thought this could be a great fit — same profile as one of our longtime Irish partner clubs.
After 3 years training with us, that club won their first league title in the club's history, and their coaches credited part of it to the experience: 'No doubt our Atletico de Madrid Experience helped us win our league title... it gives players the belief they are special.'
And with Spain now World Cup Champions, there's never been a better time for international teams to train and compete on Spanish soil.
Would you have 15 minutes this week to hear more?
Best,
Joel</t>
        </is>
      </c>
      <c r="M6" s="13" t="inlineStr"/>
      <c r="N6" s="13" t="inlineStr"/>
      <c r="O6" s="12" t="inlineStr">
        <is>
          <t>Email ya preparado y revisado 2026-08-29 — solo falta que Joel lo envíe</t>
        </is>
      </c>
    </row>
    <row r="7" ht="60" customHeight="1">
      <c r="A7" s="6" t="inlineStr">
        <is>
          <t>Søreide IL</t>
        </is>
      </c>
      <c r="B7" s="6" t="inlineStr">
        <is>
          <t>Noruega</t>
        </is>
      </c>
      <c r="C7" s="6" t="inlineStr">
        <is>
          <t>Sin confirmar</t>
        </is>
      </c>
      <c r="D7" s="12" t="inlineStr">
        <is>
          <t>Participante confirmado Costa Daurada Cup 2026</t>
        </is>
      </c>
      <c r="E7" s="6" t="inlineStr">
        <is>
          <t>costadauradacup.com</t>
        </is>
      </c>
      <c r="F7" s="12" t="inlineStr">
        <is>
          <t>Comité juvenil del club</t>
        </is>
      </c>
      <c r="G7" s="6" t="inlineStr">
        <is>
          <t>ungdomsutvalget@soreideil.no</t>
        </is>
      </c>
      <c r="H7" s="6" t="inlineStr"/>
      <c r="I7" s="6" t="inlineStr">
        <is>
          <t>Listo para enviar</t>
        </is>
      </c>
      <c r="J7" s="12" t="inlineStr">
        <is>
          <t>Enviar el email de la columna siguiente esta semana</t>
        </is>
      </c>
      <c r="K7" s="12" t="inlineStr">
        <is>
          <t>Bringing Søreide IL to train with LaLiga clubs in Spain</t>
        </is>
      </c>
      <c r="L7" s="12" t="inlineStr">
        <is>
          <t>Hi,
I'm Joel, I run Always Up — we bring international youth clubs to Spain to train directly at the facilities of Atletico de Madrid, Real Sociedad and Sporting de Gijon.
I saw Søreide IL is a confirmed participant in the Costa Daurada Cup 2026 and thought this could be a great fit for your squad.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M7" s="13" t="inlineStr"/>
      <c r="N7" s="13" t="inlineStr"/>
      <c r="O7" s="12" t="inlineStr">
        <is>
          <t>También: fotball@soreideil.no (contacto general del club)</t>
        </is>
      </c>
    </row>
    <row r="8" ht="18" customHeight="1">
      <c r="A8" s="6" t="inlineStr">
        <is>
          <t>Maidstone United (Girls Development Centre)</t>
        </is>
      </c>
      <c r="B8" s="6" t="inlineStr">
        <is>
          <t>Reino Unido</t>
        </is>
      </c>
      <c r="C8" s="6" t="inlineStr">
        <is>
          <t>Sin confirmar</t>
        </is>
      </c>
      <c r="D8" s="12" t="inlineStr">
        <is>
          <t>Participante confirmado Costa Daurada Cup 2026</t>
        </is>
      </c>
      <c r="E8" s="6" t="inlineStr">
        <is>
          <t>costadauradacup.com</t>
        </is>
      </c>
      <c r="F8" s="12" t="inlineStr">
        <is>
          <t>Sin nombre confirmado</t>
        </is>
      </c>
      <c r="G8" s="6" t="inlineStr">
        <is>
          <t>Pendiente — solo hay teléfono</t>
        </is>
      </c>
      <c r="H8" s="6" t="inlineStr">
        <is>
          <t>078 3585 4704</t>
        </is>
      </c>
      <c r="I8" s="6" t="inlineStr">
        <is>
          <t>Pendiente investigar email</t>
        </is>
      </c>
      <c r="J8" s="12" t="inlineStr">
        <is>
          <t>Llamar o buscar contacto vía redes del club</t>
        </is>
      </c>
      <c r="K8" s="12" t="inlineStr"/>
      <c r="L8" s="12" t="inlineStr"/>
      <c r="M8" s="13" t="inlineStr"/>
      <c r="N8" s="13" t="inlineStr"/>
      <c r="O8" s="12" t="inlineStr">
        <is>
          <t>Llamar o contactar vía redes sociales del club para conseguir email directo</t>
        </is>
      </c>
    </row>
    <row r="9" ht="18" customHeight="1">
      <c r="A9" s="6" t="inlineStr">
        <is>
          <t>Whitehaven AFC (Juniors Girls U13-U15)</t>
        </is>
      </c>
      <c r="B9" s="6" t="inlineStr">
        <is>
          <t>Reino Unido</t>
        </is>
      </c>
      <c r="C9" s="6" t="inlineStr">
        <is>
          <t>U13-U15 chicas</t>
        </is>
      </c>
      <c r="D9" s="12" t="inlineStr">
        <is>
          <t>Participante confirmado Costa Daurada Cup 2026 + tiene estructura de chicas U13/U14/U15 activa (The FA Full-Time)</t>
        </is>
      </c>
      <c r="E9" s="6" t="inlineStr">
        <is>
          <t>costadauradacup.com / fulltime.thefa.com</t>
        </is>
      </c>
      <c r="F9" s="12" t="inlineStr">
        <is>
          <t>Sin nombre confirmado todavía</t>
        </is>
      </c>
      <c r="G9" s="6" t="inlineStr">
        <is>
          <t>Sin email directo — solo formulario en whitehavenafc.com/contact</t>
        </is>
      </c>
      <c r="H9" s="6" t="inlineStr"/>
      <c r="I9" s="6" t="inlineStr">
        <is>
          <t>Pendiente investigar decisor</t>
        </is>
      </c>
      <c r="J9" s="12" t="inlineStr">
        <is>
          <t>Rellenar el formulario de contacto o buscar el nombre del responsable de chicas en redes del club antes de escribir</t>
        </is>
      </c>
      <c r="K9" s="12" t="inlineStr"/>
      <c r="L9" s="12" t="inlineStr"/>
      <c r="M9" s="13" t="inlineStr"/>
      <c r="N9" s="13" t="inlineStr"/>
      <c r="O9" s="12" t="inlineStr">
        <is>
          <t>Investigado 2026-08-29: club real con categorías U13-U15 chicas, pero sin decisor nombrado todavía — no está al nivel de Home Farm/Hastings todavía</t>
        </is>
      </c>
    </row>
    <row r="10" ht="18" customHeight="1">
      <c r="A10" s="6" t="inlineStr">
        <is>
          <t>Lower Ormond</t>
        </is>
      </c>
      <c r="B10" s="6" t="inlineStr">
        <is>
          <t>Reino Unido (sin confirmar)</t>
        </is>
      </c>
      <c r="C10" s="6" t="inlineStr">
        <is>
          <t>Sin confirmar</t>
        </is>
      </c>
      <c r="D10" s="12" t="inlineStr">
        <is>
          <t>Aparecía como participante Costa Daurada Cup 2026 en el research original de julio</t>
        </is>
      </c>
      <c r="E10" s="6" t="inlineStr">
        <is>
          <t>costadauradacup.com</t>
        </is>
      </c>
      <c r="F10" s="12" t="inlineStr"/>
      <c r="G10" s="6" t="inlineStr"/>
      <c r="H10" s="6" t="inlineStr"/>
      <c r="I10" s="6" t="inlineStr">
        <is>
          <t>Sin identificar con certeza</t>
        </is>
      </c>
      <c r="J10" s="12" t="inlineStr">
        <is>
          <t>Verificar directamente en costadauradacup.com — la búsqueda de hoy solo encontró clubes de Ormond en Australia (deporte distinto, AFL), no coincide</t>
        </is>
      </c>
      <c r="K10" s="12" t="inlineStr"/>
      <c r="L10" s="12" t="inlineStr"/>
      <c r="M10" s="13" t="inlineStr"/>
      <c r="N10" s="13" t="inlineStr"/>
      <c r="O10" s="12" t="inlineStr">
        <is>
          <t>Investigado 2026-08-29: posible error de nombre en el research original — no gastar más tiempo hasta verificar en la fuente original</t>
        </is>
      </c>
    </row>
    <row r="11" ht="18" customHeight="1">
      <c r="A11" s="6" t="inlineStr">
        <is>
          <t>Holbeach United</t>
        </is>
      </c>
      <c r="B11" s="6" t="inlineStr">
        <is>
          <t>Reino Unido</t>
        </is>
      </c>
      <c r="C11" s="6" t="inlineStr">
        <is>
          <t>Estructura U7-U14+</t>
        </is>
      </c>
      <c r="D11" s="12" t="inlineStr">
        <is>
          <t>Participante confirmado Costa Daurada Cup 2026 + club con estructura juvenil real y activa</t>
        </is>
      </c>
      <c r="E11" s="6" t="inlineStr">
        <is>
          <t>costadauradacup.com / holbeachunitedcsa.org.uk</t>
        </is>
      </c>
      <c r="F11" s="12" t="inlineStr">
        <is>
          <t>Sin nombre confirmado todavía</t>
        </is>
      </c>
      <c r="G11" s="6" t="inlineStr">
        <is>
          <t>info@holbeachunitedcsa.org.uk</t>
        </is>
      </c>
      <c r="H11" s="6" t="inlineStr">
        <is>
          <t>07801 049254</t>
        </is>
      </c>
      <c r="I11" s="6" t="inlineStr">
        <is>
          <t>Pendiente investigar decisor</t>
        </is>
      </c>
      <c r="J11" s="12" t="inlineStr">
        <is>
          <t>Escribir al email general pidiendo hablar con el responsable de viajes/categorías mayores antes de mandar la propuesta completa</t>
        </is>
      </c>
      <c r="K11" s="12" t="inlineStr"/>
      <c r="L11" s="12" t="inlineStr"/>
      <c r="M11" s="13" t="inlineStr"/>
      <c r="N11" s="13" t="inlineStr"/>
      <c r="O11" s="12" t="inlineStr">
        <is>
          <t>Investigado 2026-08-29: contacto general real, falta nombre de decisor</t>
        </is>
      </c>
    </row>
    <row r="12" ht="60" customHeight="1">
      <c r="A12" s="6" t="inlineStr">
        <is>
          <t>Hastings United (Girls Academy)</t>
        </is>
      </c>
      <c r="B12" s="6" t="inlineStr">
        <is>
          <t>Reino Unido</t>
        </is>
      </c>
      <c r="C12" s="6" t="inlineStr">
        <is>
          <t>Academia — chicas</t>
        </is>
      </c>
      <c r="D12" s="12" t="inlineStr">
        <is>
          <t>Participante confirmado Costa Daurada Cup 2026 + academia estructurada con Head of Girls Academy identificada</t>
        </is>
      </c>
      <c r="E12" s="6" t="inlineStr">
        <is>
          <t>costadauradacup.com / academy.hastingsunited.com</t>
        </is>
      </c>
      <c r="F12" s="12" t="inlineStr">
        <is>
          <t>Georgia Townsend (Head of Girls Academy)</t>
        </is>
      </c>
      <c r="G12" s="6" t="inlineStr">
        <is>
          <t>georgia.townsend@hastingsunited.com</t>
        </is>
      </c>
      <c r="H12" s="6" t="inlineStr"/>
      <c r="I12" s="6" t="inlineStr">
        <is>
          <t>Listo para enviar</t>
        </is>
      </c>
      <c r="J12" s="12" t="inlineStr">
        <is>
          <t>Enviar el email de la columna siguiente esta semana</t>
        </is>
      </c>
      <c r="K12" s="12" t="inlineStr">
        <is>
          <t>Bringing Hastings United's Girls Academy to train with LaLiga clubs in Spain</t>
        </is>
      </c>
      <c r="L12" s="12" t="inlineStr">
        <is>
          <t>Hi Georgia,
I'm Joel, founder of Always Up — we create football experiences in Spain for international youth clubs, including training connected with Atletico de Madrid and Real Sociedad.
I saw Hastings United is a confirmed participant in the Costa Daurada Cup 2026 and thought this could be a great fit for your Girls Academy.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M12" s="13" t="inlineStr"/>
      <c r="N12" s="13" t="inlineStr"/>
      <c r="O12" s="12" t="inlineStr">
        <is>
          <t>Investigado 2026-08-29: el mejor de los 4 investigados hoy — decisor nombrado y academia real</t>
        </is>
      </c>
    </row>
    <row r="13" ht="18" customHeight="1">
      <c r="A13" s="6" t="inlineStr">
        <is>
          <t>Morecambe Hawks</t>
        </is>
      </c>
      <c r="B13" s="6" t="inlineStr">
        <is>
          <t>Reino Unido (verificar)</t>
        </is>
      </c>
      <c r="C13" s="6" t="inlineStr">
        <is>
          <t>Sin confirmar</t>
        </is>
      </c>
      <c r="D13" s="12" t="inlineStr">
        <is>
          <t>Aparecía como participante Costa Daurada Cup 2026 en el research original de julio</t>
        </is>
      </c>
      <c r="E13" s="6" t="inlineStr">
        <is>
          <t>costadauradacup.com</t>
        </is>
      </c>
      <c r="F13" s="12" t="inlineStr"/>
      <c r="G13" s="6" t="inlineStr">
        <is>
          <t>office@morecambefc.com (club matriz, sin confirmar relación)</t>
        </is>
      </c>
      <c r="H13" s="6" t="inlineStr"/>
      <c r="I13" s="6" t="inlineStr">
        <is>
          <t>Verificar antes de contactar</t>
        </is>
      </c>
      <c r="J13" s="12" t="inlineStr">
        <is>
          <t>La búsqueda de hoy solo encontró 'Morecambe Hawks United MHU', equipo de liga local pequeña — verificar si es el mismo club antes de escribir, puede ser coincidencia de nombre</t>
        </is>
      </c>
      <c r="K13" s="12" t="inlineStr"/>
      <c r="L13" s="12" t="inlineStr"/>
      <c r="M13" s="13" t="inlineStr"/>
      <c r="N13" s="13" t="inlineStr"/>
      <c r="O13" s="12" t="inlineStr">
        <is>
          <t>Investigado 2026-08-29: discrepancia entre el research original y lo encontrado hoy — no mandar nada hasta confirmar</t>
        </is>
      </c>
    </row>
    <row r="14" ht="18" customHeight="1">
      <c r="A14" s="6" t="inlineStr">
        <is>
          <t>IA Akranes</t>
        </is>
      </c>
      <c r="B14" s="6" t="inlineStr">
        <is>
          <t>Islandia</t>
        </is>
      </c>
      <c r="C14" s="6" t="inlineStr">
        <is>
          <t>Sin confirmar</t>
        </is>
      </c>
      <c r="D14" s="12" t="inlineStr">
        <is>
          <t>Participante confirmado Costa Daurada Cup 2026</t>
        </is>
      </c>
      <c r="E14" s="6" t="inlineStr">
        <is>
          <t>costadauradacup.com</t>
        </is>
      </c>
      <c r="F14" s="12" t="inlineStr"/>
      <c r="G14" s="6" t="inlineStr"/>
      <c r="H14" s="6" t="inlineStr"/>
      <c r="I14" s="6" t="inlineStr">
        <is>
          <t>Pendiente investigar</t>
        </is>
      </c>
      <c r="J14" s="12" t="inlineStr">
        <is>
          <t>Investigar contacto (parte de la cuota diaria de 5 búsquedas)</t>
        </is>
      </c>
      <c r="K14" s="12" t="inlineStr"/>
      <c r="L14" s="12" t="inlineStr"/>
      <c r="M14" s="13" t="inlineStr"/>
      <c r="N14" s="13" t="inlineStr"/>
      <c r="O14" s="12" t="inlineStr"/>
    </row>
    <row r="15" ht="18" customHeight="1">
      <c r="A15" s="6" t="inlineStr">
        <is>
          <t>Excelsior Rotterdam</t>
        </is>
      </c>
      <c r="B15" s="6" t="inlineStr">
        <is>
          <t>Países Bajos</t>
        </is>
      </c>
      <c r="C15" s="6" t="inlineStr">
        <is>
          <t>Sin confirmar</t>
        </is>
      </c>
      <c r="D15" s="12" t="inlineStr">
        <is>
          <t>Participante confirmado Costa Daurada Cup 2026</t>
        </is>
      </c>
      <c r="E15" s="6" t="inlineStr">
        <is>
          <t>costadauradacup.com</t>
        </is>
      </c>
      <c r="F15" s="12" t="inlineStr"/>
      <c r="G15" s="6" t="inlineStr"/>
      <c r="H15" s="6" t="inlineStr"/>
      <c r="I15" s="6" t="inlineStr">
        <is>
          <t>Pendiente investigar</t>
        </is>
      </c>
      <c r="J15" s="12" t="inlineStr">
        <is>
          <t>Investigar contacto (parte de la cuota diaria de 5 búsquedas)</t>
        </is>
      </c>
      <c r="K15" s="12" t="inlineStr"/>
      <c r="L15" s="12" t="inlineStr"/>
      <c r="M15" s="13" t="inlineStr"/>
      <c r="N15" s="13" t="inlineStr"/>
      <c r="O15" s="12" t="inlineStr"/>
    </row>
    <row r="16" ht="18" customHeight="1">
      <c r="A16" s="6" t="inlineStr">
        <is>
          <t>Deportivo de la Coruña</t>
        </is>
      </c>
      <c r="B16" s="6" t="inlineStr">
        <is>
          <t>España</t>
        </is>
      </c>
      <c r="C16" s="6" t="inlineStr">
        <is>
          <t>Anfitrión, no viajero</t>
        </is>
      </c>
      <c r="D16" s="12" t="inlineStr">
        <is>
          <t>Posible nuevo club anfitrión — ya en conversación</t>
        </is>
      </c>
      <c r="E16" s="6" t="inlineStr">
        <is>
          <t>CLAUDE.md / Joel</t>
        </is>
      </c>
      <c r="F16" s="12" t="inlineStr"/>
      <c r="G16" s="6" t="inlineStr"/>
      <c r="H16" s="6" t="inlineStr"/>
      <c r="I16" s="6" t="inlineStr">
        <is>
          <t>En negociación</t>
        </is>
      </c>
      <c r="J16" s="12" t="inlineStr">
        <is>
          <t>Ver 01-clients/pipeline.md para el estado real</t>
        </is>
      </c>
      <c r="K16" s="12" t="inlineStr"/>
      <c r="L16" s="12" t="inlineStr"/>
      <c r="M16" s="13" t="inlineStr"/>
      <c r="N16" s="13" t="inlineStr"/>
      <c r="O16" s="12" t="inlineStr">
        <is>
          <t>Ver 01-clients/pipeline.md — no duplicar seguimiento aquí, solo referencia</t>
        </is>
      </c>
    </row>
    <row r="17" ht="18" customHeight="1">
      <c r="A17" s="6" t="inlineStr">
        <is>
          <t>Contacto de Brasil</t>
        </is>
      </c>
      <c r="B17" s="6" t="inlineStr">
        <is>
          <t>Brasil</t>
        </is>
      </c>
      <c r="C17" s="6" t="inlineStr">
        <is>
          <t>Sin evaluar</t>
        </is>
      </c>
      <c r="D17" s="12" t="inlineStr">
        <is>
          <t>Contacto personal de Joel, sin explorar todavía</t>
        </is>
      </c>
      <c r="E17" s="6" t="inlineStr">
        <is>
          <t>Joel</t>
        </is>
      </c>
      <c r="F17" s="12" t="inlineStr"/>
      <c r="G17" s="6" t="inlineStr"/>
      <c r="H17" s="6" t="inlineStr"/>
      <c r="I17" s="6" t="inlineStr">
        <is>
          <t>Sin evaluar</t>
        </is>
      </c>
      <c r="J17" s="12" t="inlineStr">
        <is>
          <t>Joel decide si vale la pena explorarlo</t>
        </is>
      </c>
      <c r="K17" s="12" t="inlineStr"/>
      <c r="L17" s="12" t="inlineStr"/>
      <c r="M17" s="13" t="inlineStr"/>
      <c r="N17" s="13" t="inlineStr"/>
      <c r="O17" s="12" t="inlineStr"/>
    </row>
  </sheetData>
  <autoFilter ref="A5:O17"/>
  <mergeCells count="3">
    <mergeCell ref="A3:O4"/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4" customWidth="1" min="4" max="4"/>
    <col width="20" customWidth="1" min="5" max="5"/>
    <col width="18" customWidth="1" min="6" max="6"/>
    <col width="18" customWidth="1" min="7" max="7"/>
    <col width="26" customWidth="1" min="8" max="8"/>
    <col width="28" customWidth="1" min="9" max="9"/>
    <col width="26" customWidth="1" min="10" max="10"/>
    <col width="40" customWidth="1" min="11" max="11"/>
    <col width="12" customWidth="1" min="12" max="12"/>
    <col width="14" customWidth="1" min="13" max="13"/>
    <col width="36" customWidth="1" min="14" max="14"/>
  </cols>
  <sheetData>
    <row r="1">
      <c r="A1" s="1" t="inlineStr">
        <is>
          <t>Segmento B — Universidades y clubes de América</t>
        </is>
      </c>
    </row>
    <row r="2">
      <c r="A2" s="2" t="inlineStr">
        <is>
          <t>NCAA + clubes/academias EEUU. Incluye fútbol femenino universitario (segmento en crecimiento, menos competido).</t>
        </is>
      </c>
    </row>
    <row r="3" ht="60" customHeight="1">
      <c r="A3" s="10" t="inlineStr">
        <is>
          <t>PRIORIDAD SECUNDARIA — ver plan-ventas-maestro.md sección 3. Mercado ya servido por competidores establecidos (Alandis Travel + Sevilla FC, WorldStrides...) y con ciclos de decisión institucionales largos. No forzar volumen aquí hasta tener 2-3 conversaciones reales avanzando en Segmento A.</t>
        </is>
      </c>
    </row>
    <row r="4"/>
    <row r="5">
      <c r="A5" s="5" t="inlineStr">
        <is>
          <t>Programa/Club</t>
        </is>
      </c>
      <c r="B5" s="5" t="inlineStr">
        <is>
          <t>País/Estado</t>
        </is>
      </c>
      <c r="C5" s="5" t="inlineStr">
        <is>
          <t>Nivel</t>
        </is>
      </c>
      <c r="D5" s="5" t="inlineStr">
        <is>
          <t>Motivo de interés</t>
        </is>
      </c>
      <c r="E5" s="5" t="inlineStr">
        <is>
          <t>Fuente</t>
        </is>
      </c>
      <c r="F5" s="5" t="inlineStr">
        <is>
          <t>Contacto</t>
        </is>
      </c>
      <c r="G5" s="5" t="inlineStr">
        <is>
          <t>Email</t>
        </is>
      </c>
      <c r="H5" s="5" t="inlineStr">
        <is>
          <t>Estado</t>
        </is>
      </c>
      <c r="I5" s="5" t="inlineStr">
        <is>
          <t>Próxima acción</t>
        </is>
      </c>
      <c r="J5" s="5" t="inlineStr">
        <is>
          <t>Asunto email</t>
        </is>
      </c>
      <c r="K5" s="5" t="inlineStr">
        <is>
          <t>Cuerpo email</t>
        </is>
      </c>
      <c r="L5" s="5" t="inlineStr">
        <is>
          <t>Fecha envío</t>
        </is>
      </c>
      <c r="M5" s="5" t="inlineStr">
        <is>
          <t>Fecha último contacto</t>
        </is>
      </c>
      <c r="N5" s="5" t="inlineStr">
        <is>
          <t>Notas</t>
        </is>
      </c>
    </row>
    <row r="6">
      <c r="A6" s="6" t="inlineStr">
        <is>
          <t>ODP Louisiana</t>
        </is>
      </c>
      <c r="B6" s="6" t="inlineStr">
        <is>
          <t>Louisiana, EEUU</t>
        </is>
      </c>
      <c r="C6" s="6" t="inlineStr">
        <is>
          <t>Club/Academia</t>
        </is>
      </c>
      <c r="D6" s="12" t="inlineStr">
        <is>
          <t>Participante confirmado Costa Daurada Cup 2026 — encaja con foco geográfico EEUU</t>
        </is>
      </c>
      <c r="E6" s="6" t="inlineStr">
        <is>
          <t>costadauradacup.com</t>
        </is>
      </c>
      <c r="F6" s="6" t="inlineStr"/>
      <c r="G6" s="6" t="inlineStr"/>
      <c r="H6" s="6" t="inlineStr">
        <is>
          <t>Pendiente investigar contacto</t>
        </is>
      </c>
      <c r="I6" s="12" t="inlineStr">
        <is>
          <t>Investigar contacto — solo después de que Segmento A tenga 2-3 conversaciones reales</t>
        </is>
      </c>
      <c r="J6" s="12" t="inlineStr"/>
      <c r="K6" s="12" t="inlineStr"/>
      <c r="L6" s="13" t="inlineStr"/>
      <c r="M6" s="13" t="inlineStr"/>
      <c r="N6" s="12" t="inlineStr"/>
    </row>
    <row r="7">
      <c r="A7" s="6" t="inlineStr">
        <is>
          <t>Dallas Texans</t>
        </is>
      </c>
      <c r="B7" s="6" t="inlineStr">
        <is>
          <t>Texas, EEUU</t>
        </is>
      </c>
      <c r="C7" s="6" t="inlineStr">
        <is>
          <t>Club/Academia (ECNL)</t>
        </is>
      </c>
      <c r="D7" s="12" t="inlineStr">
        <is>
          <t>Participante ECNL International IberCup 2026</t>
        </is>
      </c>
      <c r="E7" s="6" t="inlineStr">
        <is>
          <t>soccerwire.com / theecnl.com</t>
        </is>
      </c>
      <c r="F7" s="6" t="inlineStr"/>
      <c r="G7" s="6" t="inlineStr"/>
      <c r="H7" s="6" t="inlineStr">
        <is>
          <t>Pendiente filtrar por edad + contacto</t>
        </is>
      </c>
      <c r="I7" s="12" t="inlineStr">
        <is>
          <t>Confirmar categorías mayores antes de investigar más</t>
        </is>
      </c>
      <c r="J7" s="12" t="inlineStr"/>
      <c r="K7" s="12" t="inlineStr"/>
      <c r="L7" s="13" t="inlineStr"/>
      <c r="M7" s="13" t="inlineStr"/>
      <c r="N7" s="12" t="inlineStr">
        <is>
          <t>Aviso: categoría IberCup es U11/U12 7v7 — confirmar que tienen categorías mayores antes de contactar</t>
        </is>
      </c>
    </row>
    <row r="8">
      <c r="A8" s="6" t="inlineStr">
        <is>
          <t>Charlotte SA</t>
        </is>
      </c>
      <c r="B8" s="6" t="inlineStr">
        <is>
          <t>Carolina del Norte, EEUU</t>
        </is>
      </c>
      <c r="C8" s="6" t="inlineStr">
        <is>
          <t>Club/Academia (ECNL)</t>
        </is>
      </c>
      <c r="D8" s="12" t="inlineStr">
        <is>
          <t>Participante ECNL International IberCup 2026</t>
        </is>
      </c>
      <c r="E8" s="6" t="inlineStr">
        <is>
          <t>soccerwire.com / theecnl.com</t>
        </is>
      </c>
      <c r="F8" s="6" t="inlineStr"/>
      <c r="G8" s="6" t="inlineStr"/>
      <c r="H8" s="6" t="inlineStr">
        <is>
          <t>Pendiente filtrar por edad + contacto</t>
        </is>
      </c>
      <c r="I8" s="12" t="inlineStr">
        <is>
          <t>Confirmar categorías mayores antes de investigar más</t>
        </is>
      </c>
      <c r="J8" s="12" t="inlineStr"/>
      <c r="K8" s="12" t="inlineStr"/>
      <c r="L8" s="13" t="inlineStr"/>
      <c r="M8" s="13" t="inlineStr"/>
      <c r="N8" s="12" t="inlineStr">
        <is>
          <t>Mismo aviso de edad que arriba</t>
        </is>
      </c>
    </row>
    <row r="9">
      <c r="A9" s="6" t="inlineStr">
        <is>
          <t>Philadelphia Union Academy</t>
        </is>
      </c>
      <c r="B9" s="6" t="inlineStr">
        <is>
          <t>Pensilvania, EEUU</t>
        </is>
      </c>
      <c r="C9" s="6" t="inlineStr">
        <is>
          <t>Club/Academia (ECNL)</t>
        </is>
      </c>
      <c r="D9" s="12" t="inlineStr">
        <is>
          <t>Participante ECNL International IberCup 2026</t>
        </is>
      </c>
      <c r="E9" s="6" t="inlineStr">
        <is>
          <t>soccerwire.com / theecnl.com</t>
        </is>
      </c>
      <c r="F9" s="6" t="inlineStr"/>
      <c r="G9" s="6" t="inlineStr"/>
      <c r="H9" s="6" t="inlineStr">
        <is>
          <t>Pendiente filtrar por edad + contacto</t>
        </is>
      </c>
      <c r="I9" s="12" t="inlineStr">
        <is>
          <t>Confirmar categorías mayores antes de investigar más</t>
        </is>
      </c>
      <c r="J9" s="12" t="inlineStr"/>
      <c r="K9" s="12" t="inlineStr"/>
      <c r="L9" s="13" t="inlineStr"/>
      <c r="M9" s="13" t="inlineStr"/>
      <c r="N9" s="12" t="inlineStr">
        <is>
          <t>Mismo aviso de edad que arriba</t>
        </is>
      </c>
    </row>
    <row r="10">
      <c r="A10" s="6" t="inlineStr">
        <is>
          <t>Seattle United</t>
        </is>
      </c>
      <c r="B10" s="6" t="inlineStr">
        <is>
          <t>Washington, EEUU</t>
        </is>
      </c>
      <c r="C10" s="6" t="inlineStr">
        <is>
          <t>Club/Academia (ECNL)</t>
        </is>
      </c>
      <c r="D10" s="12" t="inlineStr">
        <is>
          <t>Participante ECNL International IberCup 2026</t>
        </is>
      </c>
      <c r="E10" s="6" t="inlineStr">
        <is>
          <t>soccerwire.com / theecnl.com</t>
        </is>
      </c>
      <c r="F10" s="6" t="inlineStr"/>
      <c r="G10" s="6" t="inlineStr"/>
      <c r="H10" s="6" t="inlineStr">
        <is>
          <t>Pendiente filtrar por edad + contacto</t>
        </is>
      </c>
      <c r="I10" s="12" t="inlineStr">
        <is>
          <t>Confirmar categorías mayores antes de investigar más</t>
        </is>
      </c>
      <c r="J10" s="12" t="inlineStr"/>
      <c r="K10" s="12" t="inlineStr"/>
      <c r="L10" s="13" t="inlineStr"/>
      <c r="M10" s="13" t="inlineStr"/>
      <c r="N10" s="12" t="inlineStr">
        <is>
          <t>Mismo aviso de edad que arriba</t>
        </is>
      </c>
    </row>
    <row r="11">
      <c r="A11" s="6" t="inlineStr">
        <is>
          <t>San Diego Surf</t>
        </is>
      </c>
      <c r="B11" s="6" t="inlineStr">
        <is>
          <t>California, EEUU</t>
        </is>
      </c>
      <c r="C11" s="6" t="inlineStr">
        <is>
          <t>Club/Academia (ECNL)</t>
        </is>
      </c>
      <c r="D11" s="12" t="inlineStr">
        <is>
          <t>Participante ECNL International IberCup 2026</t>
        </is>
      </c>
      <c r="E11" s="6" t="inlineStr">
        <is>
          <t>soccerwire.com / theecnl.com</t>
        </is>
      </c>
      <c r="F11" s="6" t="inlineStr"/>
      <c r="G11" s="6" t="inlineStr"/>
      <c r="H11" s="6" t="inlineStr">
        <is>
          <t>Pendiente filtrar por edad + contacto</t>
        </is>
      </c>
      <c r="I11" s="12" t="inlineStr">
        <is>
          <t>Confirmar categorías mayores antes de investigar más</t>
        </is>
      </c>
      <c r="J11" s="12" t="inlineStr"/>
      <c r="K11" s="12" t="inlineStr"/>
      <c r="L11" s="13" t="inlineStr"/>
      <c r="M11" s="13" t="inlineStr"/>
      <c r="N11" s="12" t="inlineStr">
        <is>
          <t>Mismo aviso de edad que arriba</t>
        </is>
      </c>
    </row>
    <row r="12">
      <c r="A12" s="6" t="inlineStr">
        <is>
          <t>UNC Women's Soccer</t>
        </is>
      </c>
      <c r="B12" s="6" t="inlineStr">
        <is>
          <t>Carolina del Norte, EEUU</t>
        </is>
      </c>
      <c r="C12" s="6" t="inlineStr">
        <is>
          <t>NCAA D1 (ACC, top-25)</t>
        </is>
      </c>
      <c r="D12" s="12" t="inlineStr">
        <is>
          <t>Primera gira internacional en 15 años (Dublín, agosto 2026) — demuestra que el interés es real</t>
        </is>
      </c>
      <c r="E12" s="6" t="inlineStr">
        <is>
          <t>tarheeltribune.com</t>
        </is>
      </c>
      <c r="F12" s="6" t="inlineStr"/>
      <c r="G12" s="6" t="inlineStr"/>
      <c r="H12" s="6" t="inlineStr">
        <is>
          <t>Solo referencia — NO contactar</t>
        </is>
      </c>
      <c r="I12" s="12" t="inlineStr">
        <is>
          <t>Ninguna — caso de estudio, no target</t>
        </is>
      </c>
      <c r="J12" s="12" t="inlineStr"/>
      <c r="K12" s="12" t="inlineStr"/>
      <c r="L12" s="13" t="inlineStr"/>
      <c r="M12" s="13" t="inlineStr"/>
      <c r="N12" s="12" t="inlineStr">
        <is>
          <t>Programa grande con relaciones ya asentadas, mal candidato para primer contacto. Dejar como caso de estudio del mercado</t>
        </is>
      </c>
    </row>
    <row r="13">
      <c r="A13" s="6" t="inlineStr">
        <is>
          <t>Programas NCAA D2/D3 sin partnership visible (por identificar)</t>
        </is>
      </c>
      <c r="B13" s="6" t="inlineStr">
        <is>
          <t>EEUU</t>
        </is>
      </c>
      <c r="C13" s="6" t="inlineStr">
        <is>
          <t>NCAA D2/D3</t>
        </is>
      </c>
      <c r="D13" s="12" t="inlineStr">
        <is>
          <t>Hipótesis sin validar: menos competencia que D1, presupuestos más flexibles</t>
        </is>
      </c>
      <c r="E13" s="6" t="inlineStr">
        <is>
          <t>Pendiente investigación propia</t>
        </is>
      </c>
      <c r="F13" s="6" t="inlineStr"/>
      <c r="G13" s="6" t="inlineStr"/>
      <c r="H13" s="6" t="inlineStr">
        <is>
          <t>Pendiente investigación profunda</t>
        </is>
      </c>
      <c r="I13" s="12" t="inlineStr">
        <is>
          <t>Sesión de investigación dedicada (no urgente)</t>
        </is>
      </c>
      <c r="J13" s="12" t="inlineStr"/>
      <c r="K13" s="12" t="inlineStr"/>
      <c r="L13" s="13" t="inlineStr"/>
      <c r="M13" s="13" t="inlineStr"/>
      <c r="N13" s="12" t="inlineStr">
        <is>
          <t>Búsqueda rápida (2026-08-29) no encontró candidatos concretos — requiere sesión de investigación dedicada, no una búsqueda genérica</t>
        </is>
      </c>
    </row>
  </sheetData>
  <autoFilter ref="A5:N13"/>
  <mergeCells count="3">
    <mergeCell ref="A3:N4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8" customWidth="1" min="3" max="3"/>
    <col width="30" customWidth="1" min="4" max="4"/>
    <col width="18" customWidth="1" min="5" max="5"/>
    <col width="16" customWidth="1" min="6" max="6"/>
    <col width="28" customWidth="1" min="7" max="7"/>
    <col width="34" customWidth="1" min="8" max="8"/>
    <col width="16" customWidth="1" min="9" max="9"/>
    <col width="40" customWidth="1" min="10" max="10"/>
  </cols>
  <sheetData>
    <row r="1">
      <c r="A1" s="1" t="inlineStr">
        <is>
          <t>Segmento C — Becas deportivas (inbound Instagram)</t>
        </is>
      </c>
    </row>
    <row r="2">
      <c r="A2" s="2" t="inlineStr">
        <is>
          <t>No es outreach frío — es inbound que ya llega solo. El trabajo es cualificar y cerrar mejor.</t>
        </is>
      </c>
    </row>
    <row r="3" ht="60" customHeight="1">
      <c r="A3" s="10" t="inlineStr">
        <is>
          <t>MIGRADO desde 01-clients/pipeline.md (tabla 'Embudo — seguimiento de leads inbound') el 2026-08-29 — esta pestaña sustituye esa tabla como fuente única de verdad para leads de becas. Etapa: usar Nuevo / Cualificado / Llamada agendada / Llamada realizada / Cerrado / Perdido para que las fórmulas de Hoy funcionen.</t>
        </is>
      </c>
    </row>
    <row r="4"/>
    <row r="5">
      <c r="A5" s="5" t="inlineStr">
        <is>
          <t>Nombre / contacto (IG)</t>
        </is>
      </c>
      <c r="B5" s="5" t="inlineStr">
        <is>
          <t>Edad</t>
        </is>
      </c>
      <c r="C5" s="5" t="inlineStr">
        <is>
          <t>País</t>
        </is>
      </c>
      <c r="D5" s="5" t="inlineStr">
        <is>
          <t>Nivel/Posición</t>
        </is>
      </c>
      <c r="E5" s="5" t="inlineStr">
        <is>
          <t>Etapa</t>
        </is>
      </c>
      <c r="F5" s="5" t="inlineStr">
        <is>
          <t>¿Vídeo recibido?</t>
        </is>
      </c>
      <c r="G5" s="5" t="inlineStr">
        <is>
          <t>¿Cualificado? (ver plan-ventas-maestro.md sec.5)</t>
        </is>
      </c>
      <c r="H5" s="5" t="inlineStr">
        <is>
          <t>Próxima acción</t>
        </is>
      </c>
      <c r="I5" s="5" t="inlineStr">
        <is>
          <t>Última actualización</t>
        </is>
      </c>
      <c r="J5" s="5" t="inlineStr">
        <is>
          <t>Notas</t>
        </is>
      </c>
    </row>
    <row r="6">
      <c r="A6" s="6" t="inlineStr">
        <is>
          <t>Francisco Ferreira / francisco_7ferreira</t>
        </is>
      </c>
      <c r="B6" s="6" t="inlineStr">
        <is>
          <t>20</t>
        </is>
      </c>
      <c r="C6" s="6" t="inlineStr">
        <is>
          <t>Portugal</t>
        </is>
      </c>
      <c r="D6" s="6" t="inlineStr">
        <is>
          <t>Lateral derecho, 2ª división distrital</t>
        </is>
      </c>
      <c r="E6" s="6" t="inlineStr">
        <is>
          <t>Llamada realizada</t>
        </is>
      </c>
      <c r="F6" s="6" t="inlineStr">
        <is>
          <t>Sí</t>
        </is>
      </c>
      <c r="G6" s="6" t="inlineStr">
        <is>
          <t>Sí — mandó vídeo</t>
        </is>
      </c>
      <c r="H6" s="12" t="inlineStr">
        <is>
          <t>Acusar recibo del vídeo y evaluar</t>
        </is>
      </c>
      <c r="I6" s="6" t="inlineStr">
        <is>
          <t>2026-08</t>
        </is>
      </c>
      <c r="J6" s="12" t="inlineStr">
        <is>
          <t>Dilema real: ir a EEUU 2027 vs. quedarse en Portugal a estudiar</t>
        </is>
      </c>
    </row>
    <row r="7">
      <c r="A7" s="6" t="inlineStr">
        <is>
          <t>Bauti / bautimoransalzano</t>
        </is>
      </c>
      <c r="B7" s="6" t="inlineStr"/>
      <c r="C7" s="6" t="inlineStr"/>
      <c r="D7" s="6" t="inlineStr"/>
      <c r="E7" s="6" t="inlineStr">
        <is>
          <t>Nuevo</t>
        </is>
      </c>
      <c r="F7" s="6" t="inlineStr">
        <is>
          <t>No</t>
        </is>
      </c>
      <c r="G7" s="6" t="inlineStr">
        <is>
          <t>Sin evaluar</t>
        </is>
      </c>
      <c r="H7" s="12" t="inlineStr">
        <is>
          <t>Aceptar la solicitud de IG (2 semanas sin aceptar)</t>
        </is>
      </c>
      <c r="I7" s="6" t="inlineStr">
        <is>
          <t>2026-08</t>
        </is>
      </c>
      <c r="J7" s="12" t="inlineStr">
        <is>
          <t>Preguntó directamente por el sistema de becas</t>
        </is>
      </c>
    </row>
    <row r="8">
      <c r="A8" s="6" t="inlineStr">
        <is>
          <t>Pavel Gomez / paixvi.b</t>
        </is>
      </c>
      <c r="B8" s="6" t="inlineStr">
        <is>
          <t>17</t>
        </is>
      </c>
      <c r="C8" s="6" t="inlineStr">
        <is>
          <t>EEUU (ya reside)</t>
        </is>
      </c>
      <c r="D8" s="6" t="inlineStr">
        <is>
          <t>Junior, Osceola HS clase 2027, GPA 3.0</t>
        </is>
      </c>
      <c r="E8" s="6" t="inlineStr">
        <is>
          <t>Cualificado</t>
        </is>
      </c>
      <c r="F8" s="6" t="inlineStr">
        <is>
          <t>Sí</t>
        </is>
      </c>
      <c r="G8" s="6" t="inlineStr">
        <is>
          <t>Sí</t>
        </is>
      </c>
      <c r="H8" s="12" t="inlineStr">
        <is>
          <t>Proponer videollamada</t>
        </is>
      </c>
      <c r="I8" s="6" t="inlineStr">
        <is>
          <t>2026-08</t>
        </is>
      </c>
      <c r="J8" s="12" t="inlineStr">
        <is>
          <t>Lead fuerte — ya en EEUU, quiere seguir compitiendo y sacar diploma</t>
        </is>
      </c>
    </row>
    <row r="9">
      <c r="A9" s="6" t="inlineStr">
        <is>
          <t>Gonzalo Caro / gonzalocarocontreras</t>
        </is>
      </c>
      <c r="B9" s="6" t="inlineStr"/>
      <c r="C9" s="6" t="inlineStr"/>
      <c r="D9" s="6" t="inlineStr"/>
      <c r="E9" s="6" t="inlineStr">
        <is>
          <t>Llamada agendada</t>
        </is>
      </c>
      <c r="F9" s="6" t="inlineStr"/>
      <c r="G9" s="6" t="inlineStr">
        <is>
          <t>Sí</t>
        </is>
      </c>
      <c r="H9" s="12" t="inlineStr">
        <is>
          <t>Confirmar hora propuesta: jueves 8am</t>
        </is>
      </c>
      <c r="I9" s="6" t="inlineStr">
        <is>
          <t>2026-08</t>
        </is>
      </c>
      <c r="J9" s="12" t="inlineStr">
        <is>
          <t>Lead muy caliente, solo falta confirmar</t>
        </is>
      </c>
    </row>
    <row r="10">
      <c r="A10" s="6" t="inlineStr">
        <is>
          <t>Tania Coeto / tania_coeto</t>
        </is>
      </c>
      <c r="B10" s="6" t="inlineStr"/>
      <c r="C10" s="6" t="inlineStr"/>
      <c r="D10" s="6" t="inlineStr"/>
      <c r="E10" s="6" t="inlineStr">
        <is>
          <t>Llamada agendada</t>
        </is>
      </c>
      <c r="F10" s="6" t="inlineStr"/>
      <c r="G10" s="6" t="inlineStr">
        <is>
          <t>Sí</t>
        </is>
      </c>
      <c r="H10" s="12" t="inlineStr">
        <is>
          <t>Confirmar día para videollamada</t>
        </is>
      </c>
      <c r="I10" s="6" t="inlineStr">
        <is>
          <t>2026-08</t>
        </is>
      </c>
      <c r="J10" s="12" t="inlineStr">
        <is>
          <t>Intentaba cerrar día ('hoy o mañana'), se quedó sin respuesta</t>
        </is>
      </c>
    </row>
    <row r="11">
      <c r="A11" s="6" t="inlineStr">
        <is>
          <t>Barbara Cuellar / bcshisha</t>
        </is>
      </c>
      <c r="B11" s="6" t="inlineStr">
        <is>
          <t>13</t>
        </is>
      </c>
      <c r="C11" s="6" t="inlineStr">
        <is>
          <t>Reino Unido (interés original)</t>
        </is>
      </c>
      <c r="D11" s="6" t="inlineStr">
        <is>
          <t>Fan Manchester City</t>
        </is>
      </c>
      <c r="E11" s="6" t="inlineStr">
        <is>
          <t>Cualificado</t>
        </is>
      </c>
      <c r="F11" s="6" t="inlineStr">
        <is>
          <t>No</t>
        </is>
      </c>
      <c r="G11" s="6" t="inlineStr">
        <is>
          <t>Parcial</t>
        </is>
      </c>
      <c r="H11" s="12" t="inlineStr">
        <is>
          <t>Enviar explicación del proceso EEUU (nunca mencionar University Soccer)</t>
        </is>
      </c>
      <c r="I11" s="6" t="inlineStr">
        <is>
          <t>2026-08</t>
        </is>
      </c>
      <c r="J11" s="12" t="inlineStr">
        <is>
          <t>Originalmente pedía Inglaterra, aceptó explorar vía EEUU</t>
        </is>
      </c>
    </row>
    <row r="12" ht="75" customHeight="1">
      <c r="A12" s="6" t="inlineStr">
        <is>
          <t>Omar Escamilla / omare815 — CONFIRMADO mismo lead que WhatsApp +52 1 81 3408 2672 (Gabriel y Rafael)</t>
        </is>
      </c>
      <c r="B12" s="6" t="inlineStr">
        <is>
          <t>17</t>
        </is>
      </c>
      <c r="C12" s="6" t="inlineStr">
        <is>
          <t>México (Monterrey, 2h de la frontera con Texas)</t>
        </is>
      </c>
      <c r="D12" s="6" t="inlineStr">
        <is>
          <t>Gemelos Gabriel (lateral izquierdo, 1.82m) y Rafael (medio, 1.82m) — Club Dallas FC filial México, titulares, buen nivel según el padre</t>
        </is>
      </c>
      <c r="E12" s="6" t="inlineStr">
        <is>
          <t>Llamada agendada</t>
        </is>
      </c>
      <c r="F12" s="6" t="inlineStr">
        <is>
          <t>Tienen vídeo del año pasado + uno actualizado en camino (semanas)</t>
        </is>
      </c>
      <c r="G12" s="6" t="inlineStr">
        <is>
          <t>Sí — edad, nivel y plazo (agosto 2027) confirmados por el padre</t>
        </is>
      </c>
      <c r="H12" s="12" t="inlineStr">
        <is>
          <t>Llamada el 15/09/2026 a las 12:00 — preparar guion específico antes, y pedir el vídeo si no ha llegado</t>
        </is>
      </c>
      <c r="I12" s="6" t="inlineStr">
        <is>
          <t>2026-09-14 (WhatsApp)</t>
        </is>
      </c>
      <c r="J12" s="12" t="inlineStr">
        <is>
          <t>Confirmó que le gustó la web. Preguntó país de origen de Joel (respondido: España). Llamada agendada vía Calendly para el 15/09 12:00. Pendiente: vídeo actualizado</t>
        </is>
      </c>
    </row>
    <row r="13">
      <c r="A13" s="6" t="inlineStr">
        <is>
          <t>Angelica Suarez Rivera / angelicamiami</t>
        </is>
      </c>
      <c r="B13" s="6" t="inlineStr">
        <is>
          <t>10</t>
        </is>
      </c>
      <c r="C13" s="6" t="inlineStr">
        <is>
          <t>EEUU (Miami)</t>
        </is>
      </c>
      <c r="D13" s="6" t="inlineStr"/>
      <c r="E13" s="6" t="inlineStr">
        <is>
          <t>Cualificado</t>
        </is>
      </c>
      <c r="F13" s="6" t="inlineStr">
        <is>
          <t>No</t>
        </is>
      </c>
      <c r="G13" s="6" t="inlineStr">
        <is>
          <t>Parcial — edad muy temprana para evaluar</t>
        </is>
      </c>
      <c r="H13" s="12" t="inlineStr">
        <is>
          <t>Enviar guia-becas.md</t>
        </is>
      </c>
      <c r="I13" s="6" t="inlineStr">
        <is>
          <t>2026-08</t>
        </is>
      </c>
      <c r="J13" s="12" t="inlineStr">
        <is>
          <t>Pidió la guía explícitamente</t>
        </is>
      </c>
    </row>
    <row r="14">
      <c r="A14" s="6" t="inlineStr">
        <is>
          <t>Ana Aida Uribe / aauribe</t>
        </is>
      </c>
      <c r="B14" s="6" t="inlineStr"/>
      <c r="C14" s="6" t="inlineStr"/>
      <c r="D14" s="6" t="inlineStr">
        <is>
          <t>Entra a último año en agosto, gradúa mayo 2027</t>
        </is>
      </c>
      <c r="E14" s="6" t="inlineStr">
        <is>
          <t>Cualificado</t>
        </is>
      </c>
      <c r="F14" s="6" t="inlineStr">
        <is>
          <t>No</t>
        </is>
      </c>
      <c r="G14" s="6" t="inlineStr">
        <is>
          <t>Sí, pero enfriado</t>
        </is>
      </c>
      <c r="H14" s="12" t="inlineStr">
        <is>
          <t>Reactivar — el enlace genérico anterior no tuvo CTA claro</t>
        </is>
      </c>
      <c r="I14" s="6" t="inlineStr">
        <is>
          <t>2026-08</t>
        </is>
      </c>
      <c r="J14" s="12" t="inlineStr">
        <is>
          <t>Conversación avanzada que se enfrió</t>
        </is>
      </c>
    </row>
    <row r="15">
      <c r="A15" s="6" t="inlineStr">
        <is>
          <t>Jeinz Alzate / jeinzalzate</t>
        </is>
      </c>
      <c r="B15" s="6" t="inlineStr">
        <is>
          <t>14</t>
        </is>
      </c>
      <c r="C15" s="6" t="inlineStr">
        <is>
          <t>EEUU (Florida)</t>
        </is>
      </c>
      <c r="D15" s="6" t="inlineStr">
        <is>
          <t>Terminó temporada en academia</t>
        </is>
      </c>
      <c r="E15" s="6" t="inlineStr">
        <is>
          <t>Cualificado</t>
        </is>
      </c>
      <c r="F15" s="6" t="inlineStr">
        <is>
          <t>No</t>
        </is>
      </c>
      <c r="G15" s="6" t="inlineStr">
        <is>
          <t>Parcial — edad temprana</t>
        </is>
      </c>
      <c r="H15" s="12" t="inlineStr">
        <is>
          <t>Seguir conversación</t>
        </is>
      </c>
      <c r="I15" s="6" t="inlineStr">
        <is>
          <t>2026-08</t>
        </is>
      </c>
      <c r="J15" s="12" t="inlineStr"/>
    </row>
    <row r="16">
      <c r="A16" s="6" t="inlineStr">
        <is>
          <t>Anita / ani_0487</t>
        </is>
      </c>
      <c r="B16" s="6" t="inlineStr">
        <is>
          <t>16</t>
        </is>
      </c>
      <c r="C16" s="6" t="inlineStr"/>
      <c r="D16" s="6" t="inlineStr">
        <is>
          <t>Delantero, estudiando</t>
        </is>
      </c>
      <c r="E16" s="6" t="inlineStr">
        <is>
          <t>Cualificado</t>
        </is>
      </c>
      <c r="F16" s="6" t="inlineStr">
        <is>
          <t>No</t>
        </is>
      </c>
      <c r="G16" s="6" t="inlineStr">
        <is>
          <t>Sí</t>
        </is>
      </c>
      <c r="H16" s="12" t="inlineStr">
        <is>
          <t>Responder pregunta directa sobre inscripción</t>
        </is>
      </c>
      <c r="I16" s="6" t="inlineStr">
        <is>
          <t>2026-08</t>
        </is>
      </c>
      <c r="J16" s="12" t="inlineStr"/>
    </row>
    <row r="17">
      <c r="A17" s="6" t="inlineStr">
        <is>
          <t>Margarita Vanegas / margaritavanegasoficial</t>
        </is>
      </c>
      <c r="B17" s="6" t="inlineStr"/>
      <c r="C17" s="6" t="inlineStr">
        <is>
          <t>Colombia</t>
        </is>
      </c>
      <c r="D17" s="6" t="inlineStr">
        <is>
          <t>Baloncesto — armador zurdo</t>
        </is>
      </c>
      <c r="E17" s="6" t="inlineStr">
        <is>
          <t>Cualificado</t>
        </is>
      </c>
      <c r="F17" s="6" t="inlineStr">
        <is>
          <t>No</t>
        </is>
      </c>
      <c r="G17" s="6" t="inlineStr">
        <is>
          <t>Sí</t>
        </is>
      </c>
      <c r="H17" s="12" t="inlineStr">
        <is>
          <t>Pedir vídeo y notas académicas</t>
        </is>
      </c>
      <c r="I17" s="6" t="inlineStr">
        <is>
          <t>2026-08</t>
        </is>
      </c>
      <c r="J17" s="12" t="inlineStr">
        <is>
          <t>Confirmado: Always Up sí trabaja otros deportes, no solo fútbol</t>
        </is>
      </c>
    </row>
    <row r="18">
      <c r="A18" s="6" t="inlineStr">
        <is>
          <t>Edwin Serrato / edwinserrato84</t>
        </is>
      </c>
      <c r="B18" s="6" t="inlineStr">
        <is>
          <t>13</t>
        </is>
      </c>
      <c r="C18" s="6" t="inlineStr">
        <is>
          <t>Colombia</t>
        </is>
      </c>
      <c r="D18" s="6" t="inlineStr">
        <is>
          <t>Interior/volante medio</t>
        </is>
      </c>
      <c r="E18" s="6" t="inlineStr">
        <is>
          <t>Cualificado</t>
        </is>
      </c>
      <c r="F18" s="6" t="inlineStr">
        <is>
          <t>Sí</t>
        </is>
      </c>
      <c r="G18" s="6" t="inlineStr">
        <is>
          <t>Parcial — falta situación académica</t>
        </is>
      </c>
      <c r="H18" s="12" t="inlineStr">
        <is>
          <t>Pedir situación académica</t>
        </is>
      </c>
      <c r="I18" s="6" t="inlineStr">
        <is>
          <t>2026-08</t>
        </is>
      </c>
      <c r="J18" s="12" t="inlineStr">
        <is>
          <t>Cuenta confirmada por Joel — verificar en próximo barrido</t>
        </is>
      </c>
    </row>
    <row r="19">
      <c r="A19" s="6" t="inlineStr">
        <is>
          <t>Juan Roberto / juan_roberto_16</t>
        </is>
      </c>
      <c r="B19" s="6" t="inlineStr"/>
      <c r="C19" s="6" t="inlineStr"/>
      <c r="D19" s="6" t="inlineStr"/>
      <c r="E19" s="6" t="inlineStr">
        <is>
          <t>Nuevo</t>
        </is>
      </c>
      <c r="F19" s="6" t="inlineStr">
        <is>
          <t>No</t>
        </is>
      </c>
      <c r="G19" s="6" t="inlineStr">
        <is>
          <t>No — respuesta muy breve</t>
        </is>
      </c>
      <c r="H19" s="12" t="inlineStr">
        <is>
          <t>Verificar que el mensaje le llegó bien (aviso de cuenta restringida)</t>
        </is>
      </c>
      <c r="I19" s="6" t="inlineStr">
        <is>
          <t>2026-08</t>
        </is>
      </c>
      <c r="J19" s="12" t="inlineStr"/>
    </row>
  </sheetData>
  <autoFilter ref="A5:J19"/>
  <mergeCells count="3">
    <mergeCell ref="A3:J4"/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30" customWidth="1" min="4" max="4"/>
    <col width="18" customWidth="1" min="5" max="5"/>
    <col width="40" customWidth="1" min="6" max="6"/>
  </cols>
  <sheetData>
    <row r="1">
      <c r="A1" s="1" t="inlineStr">
        <is>
          <t>LinkedIn — plan diario</t>
        </is>
      </c>
    </row>
    <row r="2">
      <c r="A2" s="2" t="inlineStr">
        <is>
          <t>Rellenar cada día que trabajes outreach.</t>
        </is>
      </c>
    </row>
    <row r="3" ht="60" customHeight="1">
      <c r="A3" s="10" t="inlineStr">
        <is>
          <t>Pestaña plantilla — se activa cuando el perfil de LinkedIn esté pulido (roadmap-maestro.md tarea #8, sesión conjunta pendiente con Claude in Chrome). Reglas de mensaje: ver plan-ventas-maestro.md sección 4 — siempre a una persona con cargo concreto, con una señal real (post/torneo/resultado), nunca plantilla fría.</t>
        </is>
      </c>
    </row>
    <row r="4"/>
    <row r="5">
      <c r="A5" s="5" t="inlineStr">
        <is>
          <t>Fecha</t>
        </is>
      </c>
      <c r="B5" s="5" t="inlineStr">
        <is>
          <t>Emails enviados (meta 5)</t>
        </is>
      </c>
      <c r="C5" s="5" t="inlineStr">
        <is>
          <t>Búsquedas nuevas cualificadas (meta 5)</t>
        </is>
      </c>
      <c r="D5" s="5" t="inlineStr">
        <is>
          <t>Conexiones LinkedIn con mensaje personalizado (meta 5)</t>
        </is>
      </c>
      <c r="E5" s="5" t="inlineStr">
        <is>
          <t>Respuestas recibidas</t>
        </is>
      </c>
      <c r="F5" s="5" t="inlineStr">
        <is>
          <t>Notas</t>
        </is>
      </c>
    </row>
    <row r="6">
      <c r="A6" s="6" t="inlineStr"/>
      <c r="B6" s="6" t="inlineStr"/>
      <c r="C6" s="6" t="inlineStr"/>
      <c r="D6" s="6" t="inlineStr"/>
      <c r="E6" s="6" t="inlineStr"/>
      <c r="F6" s="12" t="inlineStr"/>
    </row>
    <row r="7">
      <c r="A7" s="6" t="inlineStr"/>
      <c r="B7" s="6" t="inlineStr"/>
      <c r="C7" s="6" t="inlineStr"/>
      <c r="D7" s="6" t="inlineStr"/>
      <c r="E7" s="6" t="inlineStr"/>
      <c r="F7" s="12" t="inlineStr"/>
    </row>
    <row r="8">
      <c r="A8" s="6" t="inlineStr"/>
      <c r="B8" s="6" t="inlineStr"/>
      <c r="C8" s="6" t="inlineStr"/>
      <c r="D8" s="6" t="inlineStr"/>
      <c r="E8" s="6" t="inlineStr"/>
      <c r="F8" s="12" t="inlineStr"/>
    </row>
    <row r="9">
      <c r="A9" s="6" t="inlineStr"/>
      <c r="B9" s="6" t="inlineStr"/>
      <c r="C9" s="6" t="inlineStr"/>
      <c r="D9" s="6" t="inlineStr"/>
      <c r="E9" s="6" t="inlineStr"/>
      <c r="F9" s="12" t="inlineStr"/>
    </row>
    <row r="10">
      <c r="A10" s="6" t="inlineStr"/>
      <c r="B10" s="6" t="inlineStr"/>
      <c r="C10" s="6" t="inlineStr"/>
      <c r="D10" s="6" t="inlineStr"/>
      <c r="E10" s="6" t="inlineStr"/>
      <c r="F10" s="12" t="inlineStr"/>
    </row>
    <row r="11">
      <c r="A11" s="6" t="inlineStr"/>
      <c r="B11" s="6" t="inlineStr"/>
      <c r="C11" s="6" t="inlineStr"/>
      <c r="D11" s="6" t="inlineStr"/>
      <c r="E11" s="6" t="inlineStr"/>
      <c r="F11" s="12" t="inlineStr"/>
    </row>
    <row r="12">
      <c r="A12" s="6" t="inlineStr"/>
      <c r="B12" s="6" t="inlineStr"/>
      <c r="C12" s="6" t="inlineStr"/>
      <c r="D12" s="6" t="inlineStr"/>
      <c r="E12" s="6" t="inlineStr"/>
      <c r="F12" s="12" t="inlineStr"/>
    </row>
    <row r="13">
      <c r="A13" s="6" t="inlineStr">
        <is>
          <t>Total semana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 t="n"/>
    </row>
  </sheetData>
  <mergeCells count="3">
    <mergeCell ref="A2:F2"/>
    <mergeCell ref="A3:F4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0" customWidth="1" min="3" max="3"/>
    <col width="22" customWidth="1" min="4" max="4"/>
    <col width="40" customWidth="1" min="5" max="5"/>
    <col width="20" customWidth="1" min="6" max="6"/>
  </cols>
  <sheetData>
    <row r="1">
      <c r="A1" s="1" t="inlineStr">
        <is>
          <t>Oportunidades y notas sueltas</t>
        </is>
      </c>
    </row>
    <row r="2">
      <c r="A2" s="2" t="inlineStr">
        <is>
          <t>Ideas que surgen investigando, sin operativa de venta propia todavía.</t>
        </is>
      </c>
    </row>
    <row r="3" ht="30" customHeight="1">
      <c r="A3" s="10" t="inlineStr">
        <is>
          <t>Backlog ligero para líneas que aún no tienen operativa propia de venta — no crear pestañas dedicadas hasta que Joel las eleve de prioridad (ver roadmap-maestro.md).</t>
        </is>
      </c>
    </row>
    <row r="4">
      <c r="A4" s="5" t="inlineStr">
        <is>
          <t>Fecha</t>
        </is>
      </c>
      <c r="B4" s="5" t="inlineStr">
        <is>
          <t>Área</t>
        </is>
      </c>
      <c r="C4" s="5" t="inlineStr">
        <is>
          <t>Idea/Oportunidad</t>
        </is>
      </c>
      <c r="D4" s="5" t="inlineStr">
        <is>
          <t>Origen</t>
        </is>
      </c>
      <c r="E4" s="5" t="inlineStr">
        <is>
          <t>Siguiente paso</t>
        </is>
      </c>
      <c r="F4" s="5" t="inlineStr">
        <is>
          <t>Estado</t>
        </is>
      </c>
    </row>
    <row r="5">
      <c r="A5" s="6" t="inlineStr">
        <is>
          <t>2026-08</t>
        </is>
      </c>
      <c r="B5" s="6" t="inlineStr">
        <is>
          <t>International Program (Real Sociedad)</t>
        </is>
      </c>
      <c r="C5" s="12" t="inlineStr">
        <is>
          <t>Cerrar % de comisión con la Real Sociedad</t>
        </is>
      </c>
      <c r="D5" s="6" t="inlineStr">
        <is>
          <t>roadmap-maestro.md #6</t>
        </is>
      </c>
      <c r="E5" s="12" t="inlineStr">
        <is>
          <t>Bajado de prioridad — no mueve el cuello de botella actual</t>
        </is>
      </c>
      <c r="F5" s="6" t="inlineStr">
        <is>
          <t>En espera</t>
        </is>
      </c>
    </row>
    <row r="6">
      <c r="A6" s="6" t="inlineStr">
        <is>
          <t>2026-08</t>
        </is>
      </c>
      <c r="B6" s="6" t="inlineStr">
        <is>
          <t>Puerto Rico / SADE Soccer Academy</t>
        </is>
      </c>
      <c r="C6" s="12" t="inlineStr">
        <is>
          <t>Showcase conectado a la Real Sociedad, facilitado por David</t>
        </is>
      </c>
      <c r="D6" s="6" t="inlineStr">
        <is>
          <t>lineas-de-negocio.md</t>
        </is>
      </c>
      <c r="E6" s="12" t="inlineStr">
        <is>
          <t>Confirmado que pasa por Always Up — seguir según avance David</t>
        </is>
      </c>
      <c r="F6" s="6" t="inlineStr">
        <is>
          <t>En marcha (fuera de Joel)</t>
        </is>
      </c>
    </row>
    <row r="7">
      <c r="A7" s="6" t="inlineStr">
        <is>
          <t>2026-07</t>
        </is>
      </c>
      <c r="B7" s="6" t="inlineStr">
        <is>
          <t>Alemania/España</t>
        </is>
      </c>
      <c r="C7" s="12" t="inlineStr">
        <is>
          <t>Oportunidades profesionales — objetivo 2027</t>
        </is>
      </c>
      <c r="D7" s="6" t="inlineStr">
        <is>
          <t>CLAUDE.md</t>
        </is>
      </c>
      <c r="E7" s="12" t="inlineStr">
        <is>
          <t>Sin estructurar todavía, no es foco actual</t>
        </is>
      </c>
      <c r="F7" s="6" t="inlineStr">
        <is>
          <t>Sin empezar</t>
        </is>
      </c>
    </row>
    <row r="8">
      <c r="A8" s="6" t="inlineStr">
        <is>
          <t>2026-07</t>
        </is>
      </c>
      <c r="B8" s="6" t="inlineStr">
        <is>
          <t>Always Up Player Development</t>
        </is>
      </c>
      <c r="C8" s="12" t="inlineStr">
        <is>
          <t>Academia de formación de jugadores (línea 6)</t>
        </is>
      </c>
      <c r="D8" s="6" t="inlineStr">
        <is>
          <t>lineas-de-negocio.md</t>
        </is>
      </c>
      <c r="E8" s="12" t="inlineStr">
        <is>
          <t>Ritmo propio, ligado a marca personal — sesión aparte</t>
        </is>
      </c>
      <c r="F8" s="6" t="inlineStr">
        <is>
          <t>Sin empezar</t>
        </is>
      </c>
    </row>
    <row r="9">
      <c r="A9" s="6" t="inlineStr">
        <is>
          <t>2026-08-29</t>
        </is>
      </c>
      <c r="B9" s="6" t="inlineStr">
        <is>
          <t>Segmento B (NCAA)</t>
        </is>
      </c>
      <c r="C9" s="12" t="inlineStr">
        <is>
          <t>Programas NCAA D2/D3 sin partnership de tours visible</t>
        </is>
      </c>
      <c r="D9" s="6" t="inlineStr">
        <is>
          <t>plan-ventas-maestro.md</t>
        </is>
      </c>
      <c r="E9" s="12" t="inlineStr">
        <is>
          <t>Requiere sesión de investigación dedicada — búsqueda rápida no encontró candidatos concretos</t>
        </is>
      </c>
      <c r="F9" s="6" t="inlineStr">
        <is>
          <t>Pendiente investigación</t>
        </is>
      </c>
    </row>
  </sheetData>
  <autoFilter ref="A4:F9"/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2026-08-30T00:11:47Z</dcterms:created>
  <dcterms:modified xsi:type="dcterms:W3CDTF">2026-09-14T14:27:57Z</dcterms:modified>
</cp:coreProperties>
</file>