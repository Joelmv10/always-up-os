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EEME" sheetId="1" state="visible" r:id="rId1"/>
    <sheet xmlns:r="http://schemas.openxmlformats.org/officeDocument/2006/relationships" name="Calendario diario" sheetId="2" state="visible" r:id="rId2"/>
    <sheet xmlns:r="http://schemas.openxmlformats.org/officeDocument/2006/relationships" name="Hoy" sheetId="3" state="visible" r:id="rId3"/>
    <sheet xmlns:r="http://schemas.openxmlformats.org/officeDocument/2006/relationships" name="Textos para copiar" sheetId="4" state="visible" r:id="rId4"/>
    <sheet xmlns:r="http://schemas.openxmlformats.org/officeDocument/2006/relationships" name="Plan por servicio" sheetId="5" state="visible" r:id="rId5"/>
    <sheet xmlns:r="http://schemas.openxmlformats.org/officeDocument/2006/relationships" name="Verificación" sheetId="6" state="visible" r:id="rId6"/>
    <sheet xmlns:r="http://schemas.openxmlformats.org/officeDocument/2006/relationships" name="Segmento A - Clubes" sheetId="7" state="visible" r:id="rId7"/>
    <sheet xmlns:r="http://schemas.openxmlformats.org/officeDocument/2006/relationships" name="Segmento B - America" sheetId="8" state="visible" r:id="rId8"/>
    <sheet xmlns:r="http://schemas.openxmlformats.org/officeDocument/2006/relationships" name="Segmento C - Becas" sheetId="9" state="visible" r:id="rId9"/>
    <sheet xmlns:r="http://schemas.openxmlformats.org/officeDocument/2006/relationships" name="Dashboard" sheetId="10" state="visible" r:id="rId10"/>
    <sheet xmlns:r="http://schemas.openxmlformats.org/officeDocument/2006/relationships" name="LinkedIn - Plan diario" sheetId="11" state="visible" r:id="rId11"/>
    <sheet xmlns:r="http://schemas.openxmlformats.org/officeDocument/2006/relationships" name="Oportunidades y notas" sheetId="12" state="visible" r:id="rId12"/>
  </sheets>
  <definedNames>
    <definedName name="_xlnm._FilterDatabase" localSheetId="1" hidden="1">'Calendario diario'!$A$4:$J$151</definedName>
    <definedName name="_xlnm._FilterDatabase" localSheetId="3" hidden="1">'Textos para copiar'!$A$4:$K$51</definedName>
    <definedName name="_xlnm._FilterDatabase" localSheetId="6" hidden="1">'Segmento A - Clubes'!$A$5:$P$17</definedName>
    <definedName name="_xlnm._FilterDatabase" localSheetId="7" hidden="1">'Segmento B - America'!$A$5:$O$13</definedName>
    <definedName name="_xlnm._FilterDatabase" localSheetId="8" hidden="1">'Segmento C - Becas'!$A$5:$K$20</definedName>
    <definedName name="_xlnm._FilterDatabase" localSheetId="11" hidden="1">'Oportunidades y notas'!$A$4:$F$9</definedName>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23">
    <font>
      <name val="Calibri"/>
      <family val="2"/>
      <color theme="1"/>
      <sz val="11"/>
      <scheme val="minor"/>
    </font>
    <font>
      <name val="Arial"/>
      <b val="1"/>
      <color rgb="001F4E78"/>
      <sz val="14"/>
    </font>
    <font>
      <name val="Arial"/>
      <i val="1"/>
      <color rgb="00666666"/>
      <sz val="9"/>
    </font>
    <font>
      <name val="Arial"/>
      <b val="1"/>
      <color rgb="000000FF"/>
      <sz val="10"/>
    </font>
    <font>
      <name val="Arial"/>
      <b val="1"/>
      <color rgb="00C00000"/>
      <sz val="12"/>
    </font>
    <font>
      <name val="Arial"/>
      <b val="1"/>
      <color rgb="00FFFFFF"/>
      <sz val="10"/>
    </font>
    <font>
      <name val="Arial"/>
      <sz val="10"/>
    </font>
    <font>
      <name val="Arial"/>
      <b val="1"/>
      <color rgb="001F4E78"/>
      <sz val="12"/>
    </font>
    <font>
      <name val="Arial"/>
      <b val="1"/>
      <sz val="10"/>
    </font>
    <font>
      <name val="Arial"/>
      <i val="1"/>
      <color rgb="007F6000"/>
      <sz val="9"/>
    </font>
    <font>
      <name val="Arial"/>
      <b val="1"/>
      <color rgb="001F4E78"/>
      <sz val="11"/>
    </font>
    <font>
      <b val="1"/>
      <color rgb="000B1F3A"/>
      <sz val="14"/>
    </font>
    <font>
      <b val="1"/>
      <color rgb="00FFFFFF"/>
    </font>
    <font>
      <b val="1"/>
      <color rgb="000B1F3A"/>
      <sz val="15"/>
    </font>
    <font>
      <color rgb="00444444"/>
      <sz val="10"/>
    </font>
    <font>
      <b val="1"/>
      <color rgb="00FFFFFF"/>
      <sz val="10"/>
    </font>
    <font>
      <b val="1"/>
      <color rgb="00FFFFFF"/>
      <sz val="11"/>
    </font>
    <font>
      <color rgb="00000000"/>
      <sz val="10"/>
    </font>
    <font>
      <b val="1"/>
      <sz val="10"/>
    </font>
    <font>
      <i val="1"/>
      <color rgb="00777777"/>
      <sz val="10"/>
    </font>
    <font>
      <sz val="10"/>
    </font>
    <font>
      <b val="1"/>
      <color rgb="000B1F3A"/>
      <sz val="16"/>
    </font>
    <font>
      <i val="1"/>
      <color rgb="00555555"/>
    </font>
  </fonts>
  <fills count="13">
    <fill>
      <patternFill/>
    </fill>
    <fill>
      <patternFill patternType="gray125"/>
    </fill>
    <fill>
      <patternFill patternType="solid">
        <fgColor rgb="001F4E78"/>
      </patternFill>
    </fill>
    <fill>
      <patternFill patternType="solid">
        <fgColor rgb="00FFF2CC"/>
      </patternFill>
    </fill>
    <fill>
      <patternFill patternType="solid">
        <fgColor rgb="000B1F3A"/>
      </patternFill>
    </fill>
    <fill>
      <patternFill patternType="solid">
        <fgColor rgb="00E8F1FB"/>
      </patternFill>
    </fill>
    <fill>
      <patternFill patternType="solid">
        <fgColor rgb="00FFF6DD"/>
      </patternFill>
    </fill>
    <fill>
      <patternFill patternType="solid">
        <fgColor rgb="00FDE9D9"/>
      </patternFill>
    </fill>
    <fill>
      <patternFill patternType="solid">
        <fgColor rgb="00EEEEEE"/>
      </patternFill>
    </fill>
    <fill>
      <patternFill patternType="solid">
        <fgColor rgb="00C8102E"/>
      </patternFill>
    </fill>
    <fill>
      <patternFill patternType="solid">
        <fgColor rgb="00F2F2F2"/>
      </patternFill>
    </fill>
    <fill>
      <patternFill patternType="solid">
        <fgColor rgb="00E7F4EA"/>
      </patternFill>
    </fill>
    <fill>
      <patternFill patternType="solid">
        <fgColor rgb="00F3E8FF"/>
      </patternFill>
    </fill>
  </fills>
  <borders count="3">
    <border>
      <left/>
      <right/>
      <top/>
      <bottom/>
      <diagonal/>
    </border>
    <border>
      <left style="thin">
        <color rgb="00D9D9D9"/>
      </left>
      <right style="thin">
        <color rgb="00D9D9D9"/>
      </right>
      <top style="thin">
        <color rgb="00D9D9D9"/>
      </top>
      <bottom style="thin">
        <color rgb="00D9D9D9"/>
      </bottom>
    </border>
    <border>
      <left style="thin">
        <color rgb="00D0D0D0"/>
      </left>
      <right style="thin">
        <color rgb="00D0D0D0"/>
      </right>
      <top style="thin">
        <color rgb="00D0D0D0"/>
      </top>
      <bottom style="thin">
        <color rgb="00D0D0D0"/>
      </bottom>
    </border>
  </borders>
  <cellStyleXfs count="1">
    <xf numFmtId="0" fontId="0" fillId="0" borderId="0"/>
  </cellStyleXfs>
  <cellXfs count="67">
    <xf numFmtId="0" fontId="0" fillId="0" borderId="0" pivotButton="0" quotePrefix="0" xfId="0"/>
    <xf numFmtId="0" fontId="1" fillId="0" borderId="0" pivotButton="0" quotePrefix="0" xfId="0"/>
    <xf numFmtId="0" fontId="2"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9" fillId="3" borderId="0" applyAlignment="1" pivotButton="0" quotePrefix="0" xfId="0">
      <alignment vertical="top" wrapText="1"/>
    </xf>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4" borderId="0" applyAlignment="1" pivotButton="0" quotePrefix="0" xfId="0">
      <alignment vertical="center" wrapText="1"/>
    </xf>
    <xf numFmtId="164" fontId="0" fillId="5" borderId="0" applyAlignment="1" pivotButton="0" quotePrefix="0" xfId="0">
      <alignment vertical="top" wrapText="1"/>
    </xf>
    <xf numFmtId="0" fontId="0" fillId="5" borderId="0" applyAlignment="1" pivotButton="0" quotePrefix="0" xfId="0">
      <alignment vertical="top" wrapText="1"/>
    </xf>
    <xf numFmtId="164" fontId="0" fillId="0" borderId="0" applyAlignment="1" pivotButton="0" quotePrefix="0" xfId="0">
      <alignment vertical="top" wrapText="1"/>
    </xf>
    <xf numFmtId="164" fontId="0" fillId="6" borderId="0" applyAlignment="1" pivotButton="0" quotePrefix="0" xfId="0">
      <alignment vertical="top" wrapText="1"/>
    </xf>
    <xf numFmtId="0" fontId="0" fillId="6" borderId="0" applyAlignment="1" pivotButton="0" quotePrefix="0" xfId="0">
      <alignment vertical="top" wrapText="1"/>
    </xf>
    <xf numFmtId="164" fontId="0" fillId="7" borderId="0" applyAlignment="1" pivotButton="0" quotePrefix="0" xfId="0">
      <alignment vertical="top" wrapText="1"/>
    </xf>
    <xf numFmtId="0" fontId="0" fillId="7" borderId="0" applyAlignment="1" pivotButton="0" quotePrefix="0" xfId="0">
      <alignment vertical="top" wrapText="1"/>
    </xf>
    <xf numFmtId="164" fontId="0" fillId="8" borderId="0" applyAlignment="1" pivotButton="0" quotePrefix="0" xfId="0">
      <alignment vertical="top" wrapText="1"/>
    </xf>
    <xf numFmtId="0" fontId="0" fillId="8" borderId="0" applyAlignment="1" pivotButton="0" quotePrefix="0" xfId="0">
      <alignment vertical="top" wrapText="1"/>
    </xf>
    <xf numFmtId="0" fontId="21" fillId="0" borderId="0" pivotButton="0" quotePrefix="0" xfId="0"/>
    <xf numFmtId="0" fontId="22" fillId="0" borderId="0" pivotButton="0" quotePrefix="0" xfId="0"/>
    <xf numFmtId="0" fontId="12" fillId="4" borderId="0" pivotButton="0" quotePrefix="0" xfId="0"/>
    <xf numFmtId="0" fontId="18" fillId="0" borderId="2" applyAlignment="1" pivotButton="0" quotePrefix="0" xfId="0">
      <alignment vertical="top" wrapText="1"/>
    </xf>
    <xf numFmtId="0" fontId="20" fillId="0" borderId="2" applyAlignment="1" pivotButton="0" quotePrefix="0" xfId="0">
      <alignment vertical="top" wrapText="1"/>
    </xf>
    <xf numFmtId="0" fontId="13" fillId="0" borderId="0" pivotButton="0" quotePrefix="0" xfId="0"/>
    <xf numFmtId="0" fontId="14" fillId="0" borderId="0" applyAlignment="1" pivotButton="0" quotePrefix="0" xfId="0">
      <alignment vertical="top" wrapText="1"/>
    </xf>
    <xf numFmtId="0" fontId="15" fillId="4" borderId="2" applyAlignment="1" pivotButton="0" quotePrefix="0" xfId="0">
      <alignment vertical="center" wrapText="1"/>
    </xf>
    <xf numFmtId="0" fontId="12" fillId="4" borderId="2" pivotButton="0" quotePrefix="0" xfId="0"/>
    <xf numFmtId="0" fontId="16" fillId="9" borderId="0" pivotButton="0" quotePrefix="0" xfId="0"/>
    <xf numFmtId="164" fontId="17" fillId="0" borderId="2" applyAlignment="1" pivotButton="0" quotePrefix="0" xfId="0">
      <alignment vertical="top" wrapText="1"/>
    </xf>
    <xf numFmtId="0" fontId="17" fillId="0" borderId="2" applyAlignment="1" pivotButton="0" quotePrefix="0" xfId="0">
      <alignment vertical="top" wrapText="1"/>
    </xf>
    <xf numFmtId="0" fontId="17" fillId="0" borderId="2" applyAlignment="1" pivotButton="0" quotePrefix="0" xfId="0">
      <alignment horizontal="center" vertical="top"/>
    </xf>
    <xf numFmtId="0" fontId="17" fillId="10" borderId="2" applyAlignment="1" pivotButton="0" quotePrefix="0" xfId="0">
      <alignment vertical="top" wrapText="1"/>
    </xf>
    <xf numFmtId="0" fontId="17" fillId="11" borderId="2" applyAlignment="1" pivotButton="0" quotePrefix="0" xfId="0">
      <alignment vertical="top" wrapText="1"/>
    </xf>
    <xf numFmtId="0" fontId="17" fillId="5" borderId="2" applyAlignment="1" pivotButton="0" quotePrefix="0" xfId="0">
      <alignment vertical="top" wrapText="1"/>
    </xf>
    <xf numFmtId="164" fontId="19" fillId="0" borderId="2" applyAlignment="1" pivotButton="0" quotePrefix="0" xfId="0">
      <alignment vertical="top" wrapText="1"/>
    </xf>
    <xf numFmtId="0" fontId="19" fillId="0" borderId="2" applyAlignment="1" pivotButton="0" quotePrefix="0" xfId="0">
      <alignment vertical="top" wrapText="1"/>
    </xf>
    <xf numFmtId="0" fontId="19" fillId="0" borderId="2" applyAlignment="1" pivotButton="0" quotePrefix="0" xfId="0">
      <alignment horizontal="center" vertical="top"/>
    </xf>
    <xf numFmtId="0" fontId="19" fillId="5" borderId="2" applyAlignment="1" pivotButton="0" quotePrefix="0" xfId="0">
      <alignment vertical="top" wrapText="1"/>
    </xf>
    <xf numFmtId="0" fontId="17" fillId="6" borderId="2" applyAlignment="1" pivotButton="0" quotePrefix="0" xfId="0">
      <alignment vertical="top" wrapText="1"/>
    </xf>
    <xf numFmtId="0" fontId="17" fillId="12" borderId="2" applyAlignment="1" pivotButton="0" quotePrefix="0" xfId="0">
      <alignment vertical="top" wrapText="1"/>
    </xf>
    <xf numFmtId="164" fontId="20" fillId="5" borderId="2" applyAlignment="1" pivotButton="0" quotePrefix="0" xfId="0">
      <alignment vertical="top" wrapText="1"/>
    </xf>
    <xf numFmtId="0" fontId="20" fillId="5" borderId="2" applyAlignment="1" pivotButton="0" quotePrefix="0" xfId="0">
      <alignment vertical="top" wrapText="1"/>
    </xf>
    <xf numFmtId="0" fontId="20" fillId="5" borderId="2" applyAlignment="1" pivotButton="0" quotePrefix="0" xfId="0">
      <alignment horizontal="center" vertical="top"/>
    </xf>
    <xf numFmtId="164" fontId="20" fillId="12" borderId="2" applyAlignment="1" pivotButton="0" quotePrefix="0" xfId="0">
      <alignment vertical="top" wrapText="1"/>
    </xf>
    <xf numFmtId="0" fontId="20" fillId="12" borderId="2" applyAlignment="1" pivotButton="0" quotePrefix="0" xfId="0">
      <alignment vertical="top" wrapText="1"/>
    </xf>
    <xf numFmtId="0" fontId="20" fillId="12" borderId="2" applyAlignment="1" pivotButton="0" quotePrefix="0" xfId="0">
      <alignment horizontal="center" vertical="top"/>
    </xf>
    <xf numFmtId="164" fontId="20" fillId="6" borderId="2" applyAlignment="1" pivotButton="0" quotePrefix="0" xfId="0">
      <alignment vertical="top" wrapText="1"/>
    </xf>
    <xf numFmtId="0" fontId="20" fillId="6" borderId="2" applyAlignment="1" pivotButton="0" quotePrefix="0" xfId="0">
      <alignment vertical="top" wrapText="1"/>
    </xf>
    <xf numFmtId="0" fontId="20" fillId="6" borderId="2" applyAlignment="1" pivotButton="0" quotePrefix="0" xfId="0">
      <alignment horizontal="center" vertical="top"/>
    </xf>
    <xf numFmtId="164" fontId="20" fillId="7" borderId="2" applyAlignment="1" pivotButton="0" quotePrefix="0" xfId="0">
      <alignment vertical="top" wrapText="1"/>
    </xf>
    <xf numFmtId="0" fontId="20" fillId="7" borderId="2" applyAlignment="1" pivotButton="0" quotePrefix="0" xfId="0">
      <alignment vertical="top" wrapText="1"/>
    </xf>
    <xf numFmtId="0" fontId="20" fillId="7" borderId="2" applyAlignment="1" pivotButton="0" quotePrefix="0" xfId="0">
      <alignment horizontal="center" vertical="top"/>
    </xf>
    <xf numFmtId="164" fontId="20" fillId="8" borderId="2" applyAlignment="1" pivotButton="0" quotePrefix="0" xfId="0">
      <alignment vertical="top" wrapText="1"/>
    </xf>
    <xf numFmtId="0" fontId="20" fillId="8" borderId="2" applyAlignment="1" pivotButton="0" quotePrefix="0" xfId="0">
      <alignment vertical="top" wrapText="1"/>
    </xf>
    <xf numFmtId="0" fontId="20" fillId="8" borderId="2" applyAlignment="1" pivotButton="0" quotePrefix="0" xfId="0">
      <alignment horizontal="center" vertical="top"/>
    </xf>
    <xf numFmtId="0" fontId="20" fillId="11" borderId="2" applyAlignment="1" pivotButton="0" quotePrefix="0" xfId="0">
      <alignment vertical="top" wrapText="1"/>
    </xf>
    <xf numFmtId="0" fontId="20" fillId="10" borderId="2" applyAlignment="1" pivotButton="0" quotePrefix="0" xfId="0">
      <alignment vertical="top" wrapText="1"/>
    </xf>
  </cellXfs>
  <cellStyles count="1">
    <cellStyle name="Normal" xfId="0" builtinId="0" hidden="0"/>
  </cellStyles>
  <dxfs count="3">
    <dxf>
      <font>
        <strike val="1"/>
        <color rgb="00999999"/>
      </font>
    </dxf>
    <dxf>
      <fill>
        <patternFill patternType="solid">
          <fgColor rgb="00FFF2CC"/>
          <bgColor rgb="00FFF2CC"/>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8102E"/>
    <outlinePr summaryBelow="1" summaryRight="1"/>
    <pageSetUpPr/>
  </sheetPr>
  <dimension ref="A1:B27"/>
  <sheetViews>
    <sheetView workbookViewId="0">
      <selection activeCell="A1" sqref="A1"/>
    </sheetView>
  </sheetViews>
  <sheetFormatPr baseColWidth="8" defaultRowHeight="15"/>
  <cols>
    <col width="24" customWidth="1" min="1" max="1"/>
    <col width="110" customWidth="1" min="2" max="2"/>
  </cols>
  <sheetData>
    <row r="1">
      <c r="A1" s="28" t="inlineStr">
        <is>
          <t>Always Up: CRM y plan de captación</t>
        </is>
      </c>
    </row>
    <row r="2">
      <c r="A2" s="29" t="inlineStr">
        <is>
          <t>Actualizado el 13/10/2026. Primero esta página (2 minutos), luego la pestaña Calendario diario.</t>
        </is>
      </c>
    </row>
    <row r="4" ht="22" customHeight="1">
      <c r="A4" s="30" t="inlineStr">
        <is>
          <t>TU RUTINA</t>
        </is>
      </c>
    </row>
    <row r="5" ht="20" customHeight="1">
      <c r="A5" s="31" t="inlineStr">
        <is>
          <t>Cada mañana (15 min)</t>
        </is>
      </c>
      <c r="B5" s="32" t="inlineStr">
        <is>
          <t>Abre Calendario diario. Hoy sale en amarillo. Haz lo que diga, marca Hecho. Revisa bandeja, Instagram y WhatsApp.</t>
        </is>
      </c>
    </row>
    <row r="6" ht="33" customHeight="1">
      <c r="A6" s="31" t="inlineStr">
        <is>
          <t>La víspera (20 min)</t>
        </is>
      </c>
      <c r="B6" s="32" t="inlineStr">
        <is>
          <t>Prepara los correos del día siguiente. Si tu correo permite programar, déjalos programados. Si no, los envías a mano a las 07:30 de Nueva York. El calendario te dice cuáles y de dónde copiar el texto.</t>
        </is>
      </c>
    </row>
    <row r="7" ht="20" customHeight="1">
      <c r="A7" s="31" t="inlineStr">
        <is>
          <t>Cada viernes (20 min)</t>
        </is>
      </c>
      <c r="B7" s="32" t="inlineStr">
        <is>
          <t>Revisión semanal: cuéntame respuestas, rebotes y llamadas. Yo actualizo el plan y preparo la siguiente tanda.</t>
        </is>
      </c>
    </row>
    <row r="8" ht="20" customHeight="1">
      <c r="A8" s="31" t="inlineStr">
        <is>
          <t>Cada lunes (5 min)</t>
        </is>
      </c>
      <c r="B8" s="32" t="inlineStr">
        <is>
          <t>Escríbeme «investiga 10 clubes más». Yo verifico contactos y dejo los correos listos.</t>
        </is>
      </c>
    </row>
    <row r="9" ht="22" customHeight="1">
      <c r="A9" s="30" t="inlineStr">
        <is>
          <t>PESTAÑAS</t>
        </is>
      </c>
    </row>
    <row r="10" ht="20" customHeight="1">
      <c r="A10" s="31" t="inlineStr">
        <is>
          <t>Calendario diario</t>
        </is>
      </c>
      <c r="B10" s="32" t="inlineStr">
        <is>
          <t>Tu lista de tareas por día, con hora, pasos y dónde está el texto. Es lo único que necesitas mirar a diario.</t>
        </is>
      </c>
    </row>
    <row r="11" ht="20" customHeight="1">
      <c r="A11" s="31" t="inlineStr">
        <is>
          <t>Textos para copiar</t>
        </is>
      </c>
      <c r="B11" s="32" t="inlineStr">
        <is>
          <t>Todos los correos, notas de LinkedIn y mensajes, listos para pegar. Incluye respuestas tipo para cuando contesten.</t>
        </is>
      </c>
    </row>
    <row r="12" ht="20" customHeight="1">
      <c r="A12" s="31" t="inlineStr">
        <is>
          <t>Hoy</t>
        </is>
      </c>
      <c r="B12" s="32" t="inlineStr">
        <is>
          <t>Panel con números (se calculan solos desde las pestañas de segmento).</t>
        </is>
      </c>
    </row>
    <row r="13" ht="20" customHeight="1">
      <c r="A13" s="31" t="inlineStr">
        <is>
          <t>Plan por servicio</t>
        </is>
      </c>
      <c r="B13" s="32" t="inlineStr">
        <is>
          <t>Cómo conseguimos clientes en cada servicio y en qué orden.</t>
        </is>
      </c>
    </row>
    <row r="14" ht="20" customHeight="1">
      <c r="A14" s="31" t="inlineStr">
        <is>
          <t>Verificación</t>
        </is>
      </c>
      <c r="B14" s="32" t="inlineStr">
        <is>
          <t>De dónde sale cada email y qué tan fiable es.</t>
        </is>
      </c>
    </row>
    <row r="15" ht="33" customHeight="1">
      <c r="A15" s="31" t="inlineStr">
        <is>
          <t>Segmento A / B / C</t>
        </is>
      </c>
      <c r="B15" s="32" t="inlineStr">
        <is>
          <t>Las listas de clubes (A), universidades y clubes de América (B) y leads de becas (C). Actualiza Estado y Fecha de último contacto.</t>
        </is>
      </c>
    </row>
    <row r="16" ht="20" customHeight="1">
      <c r="A16" s="31" t="inlineStr">
        <is>
          <t>Dashboard, LinkedIn, Oportunidades</t>
        </is>
      </c>
      <c r="B16" s="32" t="inlineStr">
        <is>
          <t>Fotos del embudo, registro de LinkedIn y notas sueltas.</t>
        </is>
      </c>
    </row>
    <row r="17" ht="22" customHeight="1">
      <c r="A17" s="30" t="inlineStr">
        <is>
          <t>COMO ENVIAR A LA HORA CORRECTA</t>
        </is>
      </c>
    </row>
    <row r="18" ht="33" customHeight="1">
      <c r="A18" s="31" t="inlineStr">
        <is>
          <t>Tu correo</t>
        </is>
      </c>
      <c r="B18" s="32" t="inlineStr">
        <is>
          <t>joel.martinez@alwaysup.es está alojado en Hostinger, no en Microsoft. Outlook conectado a ese tipo de cuenta (IMAP) NO tiene 'Programar envío': ese botón solo funciona con cuentas de Microsoft. Por eso no lo veías.</t>
        </is>
      </c>
    </row>
    <row r="19" ht="47.5" customHeight="1">
      <c r="A19" s="31" t="inlineStr">
        <is>
          <t>Opción 1 (la mejor)</t>
        </is>
      </c>
      <c r="B19" s="32" t="inlineStr">
        <is>
          <t>Entra al webmail de Hostinger (hpanel.hostinger.com &gt; Correo electrónico &gt; Abrir webmail, o mail.hostinger.com) con tu cuenta. Ahí, junto al botón Enviar, suele haber una flecha con 'Programar envío'. Funciona desde el servidor, aunque tu ordenador esté apagado. Pruébalo con un correo a ti mismo antes de usarlo con un club.</t>
        </is>
      </c>
    </row>
    <row r="20" ht="47.5" customHeight="1">
      <c r="A20" s="31" t="inlineStr">
        <is>
          <t>Opción 2</t>
        </is>
      </c>
      <c r="B20" s="32" t="inlineStr">
        <is>
          <t>Outlook de escritorio clásico: en el correo, pestaña Opciones &gt; Retrasar entrega &gt; 'No entregar antes de' + fecha y hora. Funciona, pero Outlook debe estar abierto y el ordenador encendido a esa hora. Outlook nuevo y Outlook web no tienen esta opción para cuentas IMAP.</t>
        </is>
      </c>
    </row>
    <row r="21" ht="47.5" customHeight="1">
      <c r="A21" s="31" t="inlineStr">
        <is>
          <t>Plan B (sin programar)</t>
        </is>
      </c>
      <c r="B21" s="32" t="inlineStr">
        <is>
          <t>Envíalo tú a mano a las 07:30 de Nueva York. Son las 12:30 o 13:30 en Reino Unido, Irlanda, Noruega o Islandia: sigue siendo horario laboral, solo que a media mañana o mediodía en vez de a primera hora. La diferencia de respuesta es pequeña: no vale la pena perder un envío por esto.</t>
        </is>
      </c>
    </row>
    <row r="22" ht="33" customHeight="1">
      <c r="A22" s="31" t="inlineStr">
        <is>
          <t>Regla</t>
        </is>
      </c>
      <c r="B22" s="32" t="inlineStr">
        <is>
          <t>Lo importante es enviar martes a jueves en horario laboral del club. La hora exacta de las 09:30 es una mejora, no una condición.</t>
        </is>
      </c>
    </row>
    <row r="23" ht="22" customHeight="1">
      <c r="A23" s="30" t="inlineStr">
        <is>
          <t>REGLAS QUE NO SE ROMPEN</t>
        </is>
      </c>
    </row>
    <row r="24" ht="33" customHeight="1">
      <c r="A24" s="31" t="inlineStr">
        <is>
          <t>Nunca</t>
        </is>
      </c>
      <c r="B24" s="32" t="inlineStr">
        <is>
          <t>Adjuntos en el primer correo. Nombrar al partner de becas. Prometer becas o fichajes. Inventar urgencia. Discutir precio por escrito sin tu decisión.</t>
        </is>
      </c>
    </row>
    <row r="25" ht="33" customHeight="1">
      <c r="A25" s="31" t="inlineStr">
        <is>
          <t>Si contestan</t>
        </is>
      </c>
      <c r="B25" s="32" t="inlineStr">
        <is>
          <t>Paras la cadencia de ese club y abres 'Respuestas tipo' (hoja Textos para copiar). Menos de 4 horas de respuesta en horario del club.</t>
        </is>
      </c>
    </row>
    <row r="26" ht="20" customHeight="1">
      <c r="A26" s="31" t="inlineStr">
        <is>
          <t>Si un correo rebota</t>
        </is>
      </c>
      <c r="B26" s="32" t="inlineStr">
        <is>
          <t>Me lo dices; busco otra dirección del club y te la dejo preparada.</t>
        </is>
      </c>
    </row>
    <row r="27" ht="33" customHeight="1">
      <c r="A27" s="31" t="inlineStr">
        <is>
          <t>Colores</t>
        </is>
      </c>
      <c r="B27" s="32" t="inlineStr">
        <is>
          <t>Azul claro = email 1, amarillo = follow-up 1, naranja = follow-up 2, gris = cierre, lila = LinkedIn o redes, rojo = pendiente atrasado.</t>
        </is>
      </c>
    </row>
  </sheetData>
  <mergeCells count="4">
    <mergeCell ref="A4:B4"/>
    <mergeCell ref="A9:B9"/>
    <mergeCell ref="A23:B23"/>
    <mergeCell ref="A17:B17"/>
  </mergeCells>
  <pageMargins left="0.75" right="0.75" top="1" bottom="1" header="0.5" footer="0.5"/>
</worksheet>
</file>

<file path=xl/worksheets/sheet2.xml><?xml version="1.0" encoding="utf-8"?>
<worksheet xmlns="http://schemas.openxmlformats.org/spreadsheetml/2006/main">
  <sheetPr>
    <tabColor rgb="00C8102E"/>
    <outlinePr summaryBelow="1" summaryRight="1"/>
    <pageSetUpPr/>
  </sheetPr>
  <dimension ref="A1:J151"/>
  <sheetViews>
    <sheetView workbookViewId="0">
      <pane ySplit="4" topLeftCell="A5" activePane="bottomLeft" state="frozen"/>
      <selection pane="bottomLeft" activeCell="A1" sqref="A1"/>
    </sheetView>
  </sheetViews>
  <sheetFormatPr baseColWidth="8" defaultRowHeight="15"/>
  <cols>
    <col width="11" customWidth="1" min="1" max="1"/>
    <col width="11" customWidth="1" min="2" max="2"/>
    <col width="9" customWidth="1" min="3" max="3"/>
    <col width="16" customWidth="1" min="4" max="4"/>
    <col width="40" customWidth="1" min="5" max="5"/>
    <col width="78" customWidth="1" min="6" max="6"/>
    <col width="24" customWidth="1" min="7" max="7"/>
    <col width="6" customWidth="1" min="8" max="8"/>
    <col width="12" customWidth="1" min="9" max="9"/>
    <col width="36" customWidth="1" min="10" max="10"/>
  </cols>
  <sheetData>
    <row r="1" ht="26" customHeight="1">
      <c r="A1" s="33" t="inlineStr">
        <is>
          <t>Calendario diario: 13 de octubre a 13 de noviembre de 2026</t>
        </is>
      </c>
    </row>
    <row r="2" ht="46" customHeight="1">
      <c r="A2" s="34" t="inlineStr">
        <is>
          <t>Qué haces tú cada día, a qué hora y cómo. Las horas son de Nueva York. Las filas «SALE (programado)» son informativas: el correo sale solo si lo programaste la víspera. Cambia la columna Estado a Hecho al terminar. Hoy se marca en amarillo. Si algo queda Pendiente de un día anterior, sale en rojo.</t>
        </is>
      </c>
    </row>
    <row r="4" ht="30" customHeight="1">
      <c r="A4" s="35" t="inlineStr">
        <is>
          <t>Fecha</t>
        </is>
      </c>
      <c r="B4" s="35" t="inlineStr">
        <is>
          <t>Día</t>
        </is>
      </c>
      <c r="C4" s="35" t="inlineStr">
        <is>
          <t>Hora (NY)</t>
        </is>
      </c>
      <c r="D4" s="35" t="inlineStr">
        <is>
          <t>Servicio</t>
        </is>
      </c>
      <c r="E4" s="35" t="inlineStr">
        <is>
          <t>Tarea</t>
        </is>
      </c>
      <c r="F4" s="35" t="inlineStr">
        <is>
          <t>Cómo se hace, paso a paso</t>
        </is>
      </c>
      <c r="G4" s="35" t="inlineStr">
        <is>
          <t>Dónde está el texto</t>
        </is>
      </c>
      <c r="H4" s="35" t="inlineStr">
        <is>
          <t>Min</t>
        </is>
      </c>
      <c r="I4" s="35" t="inlineStr">
        <is>
          <t>Estado</t>
        </is>
      </c>
      <c r="J4" s="36" t="inlineStr">
        <is>
          <t>Notas / resultado</t>
        </is>
      </c>
    </row>
    <row r="5" ht="22" customHeight="1">
      <c r="A5" s="37" t="inlineStr">
        <is>
          <t>SEMANA  12/10 a 18/10</t>
        </is>
      </c>
    </row>
    <row r="6" ht="62" customHeight="1">
      <c r="A6" s="38" t="n">
        <v>46308</v>
      </c>
      <c r="B6" s="39" t="inlineStr">
        <is>
          <t>Martes</t>
        </is>
      </c>
      <c r="C6" s="40" t="inlineStr">
        <is>
          <t>8:00</t>
        </is>
      </c>
      <c r="D6" s="41" t="inlineStr">
        <is>
          <t>Todos</t>
        </is>
      </c>
      <c r="E6" s="31" t="inlineStr">
        <is>
          <t>Revisión diaria: bandeja, Instagram, WhatsApp</t>
        </is>
      </c>
      <c r="F6"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 s="39" t="inlineStr">
        <is>
          <t>Textos para copiar (final de la hoja)</t>
        </is>
      </c>
      <c r="H6" s="39" t="n">
        <v>15</v>
      </c>
      <c r="I6" s="39" t="inlineStr">
        <is>
          <t>Pendiente</t>
        </is>
      </c>
      <c r="J6" s="39" t="n"/>
    </row>
    <row r="7" ht="33" customHeight="1">
      <c r="A7" s="38" t="n">
        <v>46308</v>
      </c>
      <c r="B7" s="39" t="inlineStr">
        <is>
          <t>Martes</t>
        </is>
      </c>
      <c r="C7" s="40" t="inlineStr">
        <is>
          <t>Tarde</t>
        </is>
      </c>
      <c r="D7" s="42" t="inlineStr">
        <is>
          <t>Becas</t>
        </is>
      </c>
      <c r="E7" s="31" t="inlineStr">
        <is>
          <t>Omar: anotado el follow-up enviado hoy</t>
        </is>
      </c>
      <c r="F7" s="39" t="inlineStr">
        <is>
          <t>Nada que hacer. Si responde, pásame su mensaje. Si no, el 20/10 envías el último mensaje (ver ese día).</t>
        </is>
      </c>
      <c r="G7" s="39" t="inlineStr">
        <is>
          <t>Segmento C - Becas, fila Omar</t>
        </is>
      </c>
      <c r="H7" s="39" t="n"/>
      <c r="I7" s="39" t="inlineStr">
        <is>
          <t>Pendiente</t>
        </is>
      </c>
      <c r="J7" s="39" t="n"/>
    </row>
    <row r="8" ht="134.5" customHeight="1">
      <c r="A8" s="38" t="n">
        <v>46308</v>
      </c>
      <c r="B8" s="39" t="inlineStr">
        <is>
          <t>Martes</t>
        </is>
      </c>
      <c r="C8" s="40" t="inlineStr">
        <is>
          <t>20:00</t>
        </is>
      </c>
      <c r="D8" s="43" t="inlineStr">
        <is>
          <t>Team/Coach</t>
        </is>
      </c>
      <c r="E8" s="31" t="inlineStr">
        <is>
          <t>Preparar (y programar si puedes) los envíos del miércoles 14/10</t>
        </is>
      </c>
      <c r="F8" s="39" t="inlineStr">
        <is>
          <t>Para cada correo: copia Para, Asunto y Texto de la hoja 'Textos para copiar' (filtra por la fecha 14/10). Revisa en 30 segundos: saludo, nombre del club, firma abajo, sin adjuntos. Programa el envío a la hora indicada si tu correo lo permite (ver LEEME). Si no puedes programar, no pasa nada: mañana a las 07:30 de Nueva York los envías a mano.
• Holbeach United | Email 1 | programar para las 04:30 hora Nueva York (09:30 locales). Texto: fila de la hoja Textos para copiar del 14/10.
• Søreide IL | Email 1 | programar para las 03:30 hora Nueva York (09:30 locales). Texto: fila de la hoja Textos para copiar del 14/10.</t>
        </is>
      </c>
      <c r="G8" s="39" t="inlineStr">
        <is>
          <t>Textos para copiar</t>
        </is>
      </c>
      <c r="H8" s="39" t="n">
        <v>25</v>
      </c>
      <c r="I8" s="39" t="inlineStr">
        <is>
          <t>Pendiente</t>
        </is>
      </c>
      <c r="J8" s="39" t="n"/>
    </row>
    <row r="9" ht="47.5" customHeight="1">
      <c r="A9" s="44" t="n">
        <v>46309</v>
      </c>
      <c r="B9" s="45" t="inlineStr">
        <is>
          <t>Miércoles</t>
        </is>
      </c>
      <c r="C9" s="46" t="inlineStr">
        <is>
          <t>03:30</t>
        </is>
      </c>
      <c r="D9" s="47" t="inlineStr">
        <is>
          <t>Team/Coach</t>
        </is>
      </c>
      <c r="E9" s="45" t="inlineStr">
        <is>
          <t>SALE (programado): Email 1 a Søreide IL</t>
        </is>
      </c>
      <c r="F9" s="45" t="inlineStr">
        <is>
          <t>No tienes que hacer nada a esta hora si lo programaste la víspera. Si no pudiste programar, envíalo a mano a las 07:30 de Nueva York. Texto en 'Textos para copiar'.</t>
        </is>
      </c>
      <c r="G9" s="45" t="inlineStr">
        <is>
          <t>Textos para copiar</t>
        </is>
      </c>
      <c r="H9" s="45" t="n"/>
      <c r="I9" s="45" t="inlineStr">
        <is>
          <t>Automático</t>
        </is>
      </c>
      <c r="J9" s="45" t="n"/>
    </row>
    <row r="10" ht="47.5" customHeight="1">
      <c r="A10" s="44" t="n">
        <v>46309</v>
      </c>
      <c r="B10" s="45" t="inlineStr">
        <is>
          <t>Miércoles</t>
        </is>
      </c>
      <c r="C10" s="46" t="inlineStr">
        <is>
          <t>04:30</t>
        </is>
      </c>
      <c r="D10" s="47" t="inlineStr">
        <is>
          <t>Team/Coach</t>
        </is>
      </c>
      <c r="E10" s="45" t="inlineStr">
        <is>
          <t>SALE (programado): Email 1 a Holbeach United</t>
        </is>
      </c>
      <c r="F10" s="45" t="inlineStr">
        <is>
          <t>No tienes que hacer nada a esta hora si lo programaste la víspera. Si no pudiste programar, envíalo a mano a las 07:30 de Nueva York. Texto en 'Textos para copiar'.</t>
        </is>
      </c>
      <c r="G10" s="45" t="inlineStr">
        <is>
          <t>Textos para copiar</t>
        </is>
      </c>
      <c r="H10" s="45" t="n"/>
      <c r="I10" s="45" t="inlineStr">
        <is>
          <t>Automático</t>
        </is>
      </c>
      <c r="J10" s="45" t="n"/>
    </row>
    <row r="11" ht="62" customHeight="1">
      <c r="A11" s="38" t="n">
        <v>46309</v>
      </c>
      <c r="B11" s="39" t="inlineStr">
        <is>
          <t>Miércoles</t>
        </is>
      </c>
      <c r="C11" s="40" t="inlineStr">
        <is>
          <t>8:00</t>
        </is>
      </c>
      <c r="D11" s="41" t="inlineStr">
        <is>
          <t>Todos</t>
        </is>
      </c>
      <c r="E11" s="31" t="inlineStr">
        <is>
          <t>Revisión diaria: bandeja, Instagram, WhatsApp</t>
        </is>
      </c>
      <c r="F11"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 s="39" t="inlineStr">
        <is>
          <t>Textos para copiar (final de la hoja)</t>
        </is>
      </c>
      <c r="H11" s="39" t="n">
        <v>15</v>
      </c>
      <c r="I11" s="39" t="inlineStr">
        <is>
          <t>Pendiente</t>
        </is>
      </c>
      <c r="J11" s="39" t="n"/>
    </row>
    <row r="12" ht="47.5" customHeight="1">
      <c r="A12" s="38" t="n">
        <v>46309</v>
      </c>
      <c r="B12" s="39" t="inlineStr">
        <is>
          <t>Miércoles</t>
        </is>
      </c>
      <c r="C12" s="40" t="inlineStr">
        <is>
          <t>8:00</t>
        </is>
      </c>
      <c r="D12" s="43" t="inlineStr">
        <is>
          <t>Team/Coach</t>
        </is>
      </c>
      <c r="E12" s="31" t="inlineStr">
        <is>
          <t>Comprobar que salieron los correos de hoy y que no hay rebotes</t>
        </is>
      </c>
      <c r="F12" s="39" t="inlineStr">
        <is>
          <t>Carpeta Enviados: confirma que están. Recibidos: busca avisos de rebote (suelen llegar en minutos). Si uno rebota: apunta cuál en la columna Notas de esta fila y avísame; busco otra dirección del club y te la preparo.</t>
        </is>
      </c>
      <c r="G12" s="39" t="inlineStr">
        <is>
          <t>Enviados / Recibidos</t>
        </is>
      </c>
      <c r="H12" s="39" t="n">
        <v>5</v>
      </c>
      <c r="I12" s="39" t="inlineStr">
        <is>
          <t>Pendiente</t>
        </is>
      </c>
      <c r="J12" s="39" t="n"/>
    </row>
    <row r="13" ht="47.5" customHeight="1">
      <c r="A13" s="38" t="n">
        <v>46309</v>
      </c>
      <c r="B13" s="39" t="inlineStr">
        <is>
          <t>Miércoles</t>
        </is>
      </c>
      <c r="C13" s="40" t="inlineStr">
        <is>
          <t>10:00</t>
        </is>
      </c>
      <c r="D13" s="48" t="inlineStr">
        <is>
          <t>Brasil/Campus</t>
        </is>
      </c>
      <c r="E13" s="31" t="inlineStr">
        <is>
          <t>WhatsApp a Leonardo Uren para reactivar la conversación</t>
        </is>
      </c>
      <c r="F13" s="39" t="inlineStr">
        <is>
          <t>Copia el texto de 'Reactivar a Leonardo Uren' (hoja Textos para copiar, sección Respuestas tipo). Son las 11:00 en Brasilia. Es un posible partner, no un cliente normal: sin adjuntos.</t>
        </is>
      </c>
      <c r="G13" s="39" t="inlineStr">
        <is>
          <t>Textos para copiar</t>
        </is>
      </c>
      <c r="H13" s="39" t="n">
        <v>5</v>
      </c>
      <c r="I13" s="39" t="inlineStr">
        <is>
          <t>Pendiente</t>
        </is>
      </c>
      <c r="J13" s="39" t="n"/>
    </row>
    <row r="14" ht="33" customHeight="1">
      <c r="A14" s="38" t="n">
        <v>46309</v>
      </c>
      <c r="B14" s="39" t="inlineStr">
        <is>
          <t>Miércoles</t>
        </is>
      </c>
      <c r="C14" s="40" t="inlineStr">
        <is>
          <t>Libre</t>
        </is>
      </c>
      <c r="D14" s="41" t="inlineStr">
        <is>
          <t>Transversal</t>
        </is>
      </c>
      <c r="E14" s="31" t="inlineStr">
        <is>
          <t>Pasarme tu horario de clases para montar el Calendly</t>
        </is>
      </c>
      <c r="F14" s="39" t="inlineStr">
        <is>
          <t>Escríbeme tus horas libres reales entre semana (zona Nueva York). Con eso preparo las franjas de llamada y el enlace para la firma.</t>
        </is>
      </c>
      <c r="G14" s="39" t="inlineStr">
        <is>
          <t>Chat con Claude</t>
        </is>
      </c>
      <c r="H14" s="39" t="n">
        <v>5</v>
      </c>
      <c r="I14" s="39" t="inlineStr">
        <is>
          <t>Pendiente</t>
        </is>
      </c>
      <c r="J14" s="39" t="n"/>
    </row>
    <row r="15" ht="33" customHeight="1">
      <c r="A15" s="38" t="n">
        <v>46309</v>
      </c>
      <c r="B15" s="39" t="inlineStr">
        <is>
          <t>Miércoles</t>
        </is>
      </c>
      <c r="C15" s="40" t="inlineStr">
        <is>
          <t>Libre</t>
        </is>
      </c>
      <c r="D15" s="42" t="inlineStr">
        <is>
          <t>Becas</t>
        </is>
      </c>
      <c r="E15" s="31" t="inlineStr">
        <is>
          <t>Daniel (MLS NEXT): conseguir su usuario de Instagram</t>
        </is>
      </c>
      <c r="F15" s="39" t="inlineStr">
        <is>
          <t>Fila 20 de Segmento C. Sin el usuario no se puede continuar la conversación.</t>
        </is>
      </c>
      <c r="G15" s="39" t="inlineStr">
        <is>
          <t>Segmento C - Becas</t>
        </is>
      </c>
      <c r="H15" s="39" t="n">
        <v>5</v>
      </c>
      <c r="I15" s="39" t="inlineStr">
        <is>
          <t>Pendiente</t>
        </is>
      </c>
      <c r="J15" s="39" t="n"/>
    </row>
    <row r="16" ht="33" customHeight="1">
      <c r="A16" s="38" t="n">
        <v>46309</v>
      </c>
      <c r="B16" s="39" t="inlineStr">
        <is>
          <t>Miércoles</t>
        </is>
      </c>
      <c r="C16" s="40" t="inlineStr">
        <is>
          <t>Libre</t>
        </is>
      </c>
      <c r="D16" s="49" t="inlineStr">
        <is>
          <t>Instagram</t>
        </is>
      </c>
      <c r="E16" s="31" t="inlineStr">
        <is>
          <t>Publicar o subir una story/post</t>
        </is>
      </c>
      <c r="F16" s="39" t="inlineStr">
        <is>
          <t>Lo que tengas de la experiencia (partidos, estadio, instalaciones, sin menores identificables) o el plan que salga de la sesión del 17/10. Mínimo una story.</t>
        </is>
      </c>
      <c r="G16" s="39" t="inlineStr"/>
      <c r="H16" s="39" t="n">
        <v>15</v>
      </c>
      <c r="I16" s="39" t="inlineStr">
        <is>
          <t>Pendiente</t>
        </is>
      </c>
      <c r="J16" s="39" t="n"/>
    </row>
    <row r="17" ht="163.5" customHeight="1">
      <c r="A17" s="38" t="n">
        <v>46309</v>
      </c>
      <c r="B17" s="39" t="inlineStr">
        <is>
          <t>Miércoles</t>
        </is>
      </c>
      <c r="C17" s="40" t="inlineStr">
        <is>
          <t>20:00</t>
        </is>
      </c>
      <c r="D17" s="43" t="inlineStr">
        <is>
          <t>Team/Coach</t>
        </is>
      </c>
      <c r="E17" s="31" t="inlineStr">
        <is>
          <t>Preparar (y programar si puedes) los envíos del jueves 15/10</t>
        </is>
      </c>
      <c r="F17" s="39" t="inlineStr">
        <is>
          <t>Para cada correo: copia Para, Asunto y Texto de la hoja 'Textos para copiar' (filtra por la fecha 15/10). Revisa en 30 segundos: saludo, nombre del club, firma abajo, sin adjuntos. Programa el envío a la hora indicada si tu correo lo permite (ver LEEME). Si no puedes programar, no pasa nada: mañana a las 07:30 de Nueva York los envías a mano.
• IA Akranes | Email 1 | programar para las 05:30 hora Nueva York (09:30 locales). Texto: fila de la hoja Textos para copiar del 15/10.
• Maidstone United | Email 1 | programar para las 04:30 hora Nueva York (09:30 locales). Texto: fila de la hoja Textos para copiar del 15/10.
• Whitehaven AFC | Email 1 | programar para las 04:30 hora Nueva York (09:30 locales). Texto: fila de la hoja Textos para copiar del 15/10.</t>
        </is>
      </c>
      <c r="G17" s="39" t="inlineStr">
        <is>
          <t>Textos para copiar</t>
        </is>
      </c>
      <c r="H17" s="39" t="n">
        <v>30</v>
      </c>
      <c r="I17" s="39" t="inlineStr">
        <is>
          <t>Pendiente</t>
        </is>
      </c>
      <c r="J17" s="39" t="n"/>
    </row>
    <row r="18" ht="47.5" customHeight="1">
      <c r="A18" s="44" t="n">
        <v>46310</v>
      </c>
      <c r="B18" s="45" t="inlineStr">
        <is>
          <t>Jueves</t>
        </is>
      </c>
      <c r="C18" s="46" t="inlineStr">
        <is>
          <t>04:30</t>
        </is>
      </c>
      <c r="D18" s="47" t="inlineStr">
        <is>
          <t>Team/Coach</t>
        </is>
      </c>
      <c r="E18" s="45" t="inlineStr">
        <is>
          <t>SALE (programado): Email 1 a Maidstone United</t>
        </is>
      </c>
      <c r="F18" s="45" t="inlineStr">
        <is>
          <t>No tienes que hacer nada a esta hora si lo programaste la víspera. Si no pudiste programar, envíalo a mano a las 07:30 de Nueva York. Texto en 'Textos para copiar'.</t>
        </is>
      </c>
      <c r="G18" s="45" t="inlineStr">
        <is>
          <t>Textos para copiar</t>
        </is>
      </c>
      <c r="H18" s="45" t="n"/>
      <c r="I18" s="45" t="inlineStr">
        <is>
          <t>Automático</t>
        </is>
      </c>
      <c r="J18" s="45" t="n"/>
    </row>
    <row r="19" ht="47.5" customHeight="1">
      <c r="A19" s="44" t="n">
        <v>46310</v>
      </c>
      <c r="B19" s="45" t="inlineStr">
        <is>
          <t>Jueves</t>
        </is>
      </c>
      <c r="C19" s="46" t="inlineStr">
        <is>
          <t>04:30</t>
        </is>
      </c>
      <c r="D19" s="47" t="inlineStr">
        <is>
          <t>Team/Coach</t>
        </is>
      </c>
      <c r="E19" s="45" t="inlineStr">
        <is>
          <t>SALE (programado): Email 1 a Whitehaven AFC</t>
        </is>
      </c>
      <c r="F19" s="45" t="inlineStr">
        <is>
          <t>No tienes que hacer nada a esta hora si lo programaste la víspera. Si no pudiste programar, envíalo a mano a las 07:30 de Nueva York. Texto en 'Textos para copiar'.</t>
        </is>
      </c>
      <c r="G19" s="45" t="inlineStr">
        <is>
          <t>Textos para copiar</t>
        </is>
      </c>
      <c r="H19" s="45" t="n"/>
      <c r="I19" s="45" t="inlineStr">
        <is>
          <t>Automático</t>
        </is>
      </c>
      <c r="J19" s="45" t="n"/>
    </row>
    <row r="20" ht="47.5" customHeight="1">
      <c r="A20" s="44" t="n">
        <v>46310</v>
      </c>
      <c r="B20" s="45" t="inlineStr">
        <is>
          <t>Jueves</t>
        </is>
      </c>
      <c r="C20" s="46" t="inlineStr">
        <is>
          <t>05:30</t>
        </is>
      </c>
      <c r="D20" s="47" t="inlineStr">
        <is>
          <t>Team/Coach</t>
        </is>
      </c>
      <c r="E20" s="45" t="inlineStr">
        <is>
          <t>SALE (programado): Email 1 a IA Akranes</t>
        </is>
      </c>
      <c r="F20" s="45" t="inlineStr">
        <is>
          <t>No tienes que hacer nada a esta hora si lo programaste la víspera. Si no pudiste programar, envíalo a mano a las 07:30 de Nueva York. Texto en 'Textos para copiar'.</t>
        </is>
      </c>
      <c r="G20" s="45" t="inlineStr">
        <is>
          <t>Textos para copiar</t>
        </is>
      </c>
      <c r="H20" s="45" t="n"/>
      <c r="I20" s="45" t="inlineStr">
        <is>
          <t>Automático</t>
        </is>
      </c>
      <c r="J20" s="45" t="n"/>
    </row>
    <row r="21" ht="62" customHeight="1">
      <c r="A21" s="38" t="n">
        <v>46310</v>
      </c>
      <c r="B21" s="39" t="inlineStr">
        <is>
          <t>Jueves</t>
        </is>
      </c>
      <c r="C21" s="40" t="inlineStr">
        <is>
          <t>8:00</t>
        </is>
      </c>
      <c r="D21" s="41" t="inlineStr">
        <is>
          <t>Todos</t>
        </is>
      </c>
      <c r="E21" s="31" t="inlineStr">
        <is>
          <t>Revisión diaria: bandeja, Instagram, WhatsApp</t>
        </is>
      </c>
      <c r="F21"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1" s="39" t="inlineStr">
        <is>
          <t>Textos para copiar (final de la hoja)</t>
        </is>
      </c>
      <c r="H21" s="39" t="n">
        <v>15</v>
      </c>
      <c r="I21" s="39" t="inlineStr">
        <is>
          <t>Pendiente</t>
        </is>
      </c>
      <c r="J21" s="39" t="n"/>
    </row>
    <row r="22" ht="47.5" customHeight="1">
      <c r="A22" s="38" t="n">
        <v>46310</v>
      </c>
      <c r="B22" s="39" t="inlineStr">
        <is>
          <t>Jueves</t>
        </is>
      </c>
      <c r="C22" s="40" t="inlineStr">
        <is>
          <t>8:00</t>
        </is>
      </c>
      <c r="D22" s="43" t="inlineStr">
        <is>
          <t>Team/Coach</t>
        </is>
      </c>
      <c r="E22" s="31" t="inlineStr">
        <is>
          <t>Comprobar que salieron los correos de hoy y que no hay rebotes</t>
        </is>
      </c>
      <c r="F22" s="39" t="inlineStr">
        <is>
          <t>Carpeta Enviados: confirma que están. Recibidos: busca avisos de rebote (suelen llegar en minutos). Si uno rebota: apunta cuál en la columna Notas de esta fila y avísame; busco otra dirección del club y te la preparo.</t>
        </is>
      </c>
      <c r="G22" s="39" t="inlineStr">
        <is>
          <t>Enviados / Recibidos</t>
        </is>
      </c>
      <c r="H22" s="39" t="n">
        <v>5</v>
      </c>
      <c r="I22" s="39" t="inlineStr">
        <is>
          <t>Pendiente</t>
        </is>
      </c>
      <c r="J22" s="39" t="n"/>
    </row>
    <row r="23" ht="33" customHeight="1">
      <c r="A23" s="38" t="n">
        <v>46310</v>
      </c>
      <c r="B23" s="39" t="inlineStr">
        <is>
          <t>Jueves</t>
        </is>
      </c>
      <c r="C23" s="40" t="inlineStr">
        <is>
          <t>Libre</t>
        </is>
      </c>
      <c r="D23" s="42" t="inlineStr">
        <is>
          <t>Becas</t>
        </is>
      </c>
      <c r="E23" s="31" t="inlineStr">
        <is>
          <t>Darme tu feedback sobre la ficha de Becas EEUU</t>
        </is>
      </c>
      <c r="F23" s="39" t="inlineStr">
        <is>
          <t>Ábrela (02-sales/assets/Always-Up-Becas-EEUU.pdf) y dime qué cambiarías. Antes de cambiar nada te digo si me parece buena idea.</t>
        </is>
      </c>
      <c r="G23" s="39" t="inlineStr">
        <is>
          <t>02-sales/assets</t>
        </is>
      </c>
      <c r="H23" s="39" t="n">
        <v>15</v>
      </c>
      <c r="I23" s="39" t="inlineStr">
        <is>
          <t>Pendiente</t>
        </is>
      </c>
      <c r="J23" s="39" t="n"/>
    </row>
    <row r="24" ht="33" customHeight="1">
      <c r="A24" s="38" t="n">
        <v>46310</v>
      </c>
      <c r="B24" s="39" t="inlineStr">
        <is>
          <t>Jueves</t>
        </is>
      </c>
      <c r="C24" s="40" t="inlineStr">
        <is>
          <t>Libre</t>
        </is>
      </c>
      <c r="D24" s="43" t="inlineStr">
        <is>
          <t>Team/Coach</t>
        </is>
      </c>
      <c r="E24" s="31" t="inlineStr">
        <is>
          <t>Pedir al club irlandés testimonio y presentaciones</t>
        </is>
      </c>
      <c r="F24" s="39" t="inlineStr">
        <is>
          <t>Es lo que más puede acelerar ventas: un club que ya compró habla mejor de nosotros que cualquier email. Texto en 'Respuestas tipo'. Puedes mandarlo tú o Enrique.</t>
        </is>
      </c>
      <c r="G24" s="39" t="inlineStr">
        <is>
          <t>Textos para copiar (Respuestas tipo)</t>
        </is>
      </c>
      <c r="H24" s="39" t="n">
        <v>15</v>
      </c>
      <c r="I24" s="39" t="inlineStr">
        <is>
          <t>Pendiente</t>
        </is>
      </c>
      <c r="J24" s="39" t="n"/>
    </row>
    <row r="25" ht="76.5" customHeight="1">
      <c r="A25" s="38" t="n">
        <v>46310</v>
      </c>
      <c r="B25" s="39" t="inlineStr">
        <is>
          <t>Jueves</t>
        </is>
      </c>
      <c r="C25" s="40" t="inlineStr">
        <is>
          <t>Libre</t>
        </is>
      </c>
      <c r="D25" s="43" t="inlineStr">
        <is>
          <t>Team/Coach</t>
        </is>
      </c>
      <c r="E25" s="31" t="inlineStr">
        <is>
          <t>LinkedIn: conectar con Georgia Townsend (Hastings United)</t>
        </is>
      </c>
      <c r="F25" s="39" t="inlineStr">
        <is>
          <t>A mano en LinkedIn: perfil de la persona &gt; Conectar &gt; Añadir nota &gt; pegar el texto (máx. 300 caracteres). Si no deja añadir nota, conecta sin nota y manda el texto cuando acepte. Texto: «Hi Georgia, I'm Joel, I run Always Up. We take youth teams to Spain to train with Atlético de Madrid and Real Sociedad. I emailed you this week and thought I'd connect here too. Joel»</t>
        </is>
      </c>
      <c r="G25" s="39" t="inlineStr">
        <is>
          <t>Textos para copiar</t>
        </is>
      </c>
      <c r="H25" s="39" t="n">
        <v>5</v>
      </c>
      <c r="I25" s="39" t="inlineStr">
        <is>
          <t>Pendiente</t>
        </is>
      </c>
      <c r="J25" s="39" t="n"/>
    </row>
    <row r="26" ht="62" customHeight="1">
      <c r="A26" s="38" t="n">
        <v>46311</v>
      </c>
      <c r="B26" s="39" t="inlineStr">
        <is>
          <t>Viernes</t>
        </is>
      </c>
      <c r="C26" s="40" t="inlineStr">
        <is>
          <t>8:00</t>
        </is>
      </c>
      <c r="D26" s="41" t="inlineStr">
        <is>
          <t>Todos</t>
        </is>
      </c>
      <c r="E26" s="31" t="inlineStr">
        <is>
          <t>Revisión diaria: bandeja, Instagram, WhatsApp</t>
        </is>
      </c>
      <c r="F26"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6" s="39" t="inlineStr">
        <is>
          <t>Textos para copiar (final de la hoja)</t>
        </is>
      </c>
      <c r="H26" s="39" t="n">
        <v>15</v>
      </c>
      <c r="I26" s="39" t="inlineStr">
        <is>
          <t>Pendiente</t>
        </is>
      </c>
      <c r="J26" s="39" t="n"/>
    </row>
    <row r="27" ht="33" customHeight="1">
      <c r="A27" s="38" t="n">
        <v>46311</v>
      </c>
      <c r="B27" s="39" t="inlineStr">
        <is>
          <t>Viernes</t>
        </is>
      </c>
      <c r="C27" s="40" t="inlineStr">
        <is>
          <t>Libre</t>
        </is>
      </c>
      <c r="D27" s="41" t="inlineStr">
        <is>
          <t>Todos</t>
        </is>
      </c>
      <c r="E27" s="31" t="inlineStr">
        <is>
          <t>Revisión semanal 1: qué ha pasado esta semana</t>
        </is>
      </c>
      <c r="F27" s="39" t="inlineStr">
        <is>
          <t>Mira la hoja Hoy y anota respuestas, rebotes y llamadas. Pásame un resumen de tres líneas: yo ajusto el plan.</t>
        </is>
      </c>
      <c r="G27" s="39" t="inlineStr">
        <is>
          <t>Hoy</t>
        </is>
      </c>
      <c r="H27" s="39" t="n">
        <v>20</v>
      </c>
      <c r="I27" s="39" t="inlineStr">
        <is>
          <t>Pendiente</t>
        </is>
      </c>
      <c r="J27" s="39" t="n"/>
    </row>
    <row r="28" ht="76.5" customHeight="1">
      <c r="A28" s="38" t="n">
        <v>46311</v>
      </c>
      <c r="B28" s="39" t="inlineStr">
        <is>
          <t>Viernes</t>
        </is>
      </c>
      <c r="C28" s="40" t="inlineStr">
        <is>
          <t>Libre</t>
        </is>
      </c>
      <c r="D28" s="43" t="inlineStr">
        <is>
          <t>Team/Coach</t>
        </is>
      </c>
      <c r="E28" s="31" t="inlineStr">
        <is>
          <t>LinkedIn: conectar con Callum Lawe (Holbeach United)</t>
        </is>
      </c>
      <c r="F28" s="39" t="inlineStr">
        <is>
          <t>A mano en LinkedIn: perfil de la persona &gt; Conectar &gt; Añadir nota &gt; pegar el texto (máx. 300 caracteres). Si no deja añadir nota, conecta sin nota y manda el texto cuando acepte. Texto: «Hi Callum, I'm Joel, I run Always Up. We take youth teams to Spain to train with Atlético de Madrid and Real Sociedad. I emailed you this week and thought I'd connect here too. Joel»</t>
        </is>
      </c>
      <c r="G28" s="39" t="inlineStr">
        <is>
          <t>Textos para copiar</t>
        </is>
      </c>
      <c r="H28" s="39" t="n">
        <v>5</v>
      </c>
      <c r="I28" s="39" t="inlineStr">
        <is>
          <t>Pendiente</t>
        </is>
      </c>
      <c r="J28" s="39" t="n"/>
    </row>
    <row r="29" ht="76.5" customHeight="1">
      <c r="A29" s="38" t="n">
        <v>46311</v>
      </c>
      <c r="B29" s="39" t="inlineStr">
        <is>
          <t>Viernes</t>
        </is>
      </c>
      <c r="C29" s="40" t="inlineStr">
        <is>
          <t>Libre</t>
        </is>
      </c>
      <c r="D29" s="43" t="inlineStr">
        <is>
          <t>Team/Coach</t>
        </is>
      </c>
      <c r="E29" s="31" t="inlineStr">
        <is>
          <t>LinkedIn: conectar con Marius Engen (Søreide IL)</t>
        </is>
      </c>
      <c r="F29" s="39" t="inlineStr">
        <is>
          <t>A mano en LinkedIn: perfil de la persona &gt; Conectar &gt; Añadir nota &gt; pegar el texto (máx. 300 caracteres). Si no deja añadir nota, conecta sin nota y manda el texto cuando acepte. Texto: «Hi Marius, I'm Joel, I run Always Up. We take youth teams to Spain to train with Atlético de Madrid and Real Sociedad. I emailed you this week and thought I'd connect here too. Joel»</t>
        </is>
      </c>
      <c r="G29" s="39" t="inlineStr">
        <is>
          <t>Textos para copiar</t>
        </is>
      </c>
      <c r="H29" s="39" t="n">
        <v>5</v>
      </c>
      <c r="I29" s="39" t="inlineStr">
        <is>
          <t>Pendiente</t>
        </is>
      </c>
      <c r="J29" s="39" t="n"/>
    </row>
    <row r="30" ht="33" customHeight="1">
      <c r="A30" s="38" t="n">
        <v>46311</v>
      </c>
      <c r="B30" s="39" t="inlineStr">
        <is>
          <t>Viernes</t>
        </is>
      </c>
      <c r="C30" s="40" t="inlineStr">
        <is>
          <t>Libre</t>
        </is>
      </c>
      <c r="D30" s="49" t="inlineStr">
        <is>
          <t>Instagram</t>
        </is>
      </c>
      <c r="E30" s="31" t="inlineStr">
        <is>
          <t>Publicar o subir una story/post</t>
        </is>
      </c>
      <c r="F30" s="39" t="inlineStr">
        <is>
          <t>Lo que tengas de la experiencia (partidos, estadio, instalaciones, sin menores identificables) o el plan que salga de la sesión del 17/10. Mínimo una story.</t>
        </is>
      </c>
      <c r="G30" s="39" t="inlineStr"/>
      <c r="H30" s="39" t="n">
        <v>15</v>
      </c>
      <c r="I30" s="39" t="inlineStr">
        <is>
          <t>Pendiente</t>
        </is>
      </c>
      <c r="J30" s="39" t="n"/>
    </row>
    <row r="31" ht="33" customHeight="1">
      <c r="A31" s="38" t="n">
        <v>46311</v>
      </c>
      <c r="B31" s="39" t="inlineStr">
        <is>
          <t>Viernes</t>
        </is>
      </c>
      <c r="C31" s="40" t="inlineStr">
        <is>
          <t>Libre</t>
        </is>
      </c>
      <c r="D31" s="41" t="inlineStr">
        <is>
          <t>Todos</t>
        </is>
      </c>
      <c r="E31" s="31" t="inlineStr">
        <is>
          <t>Actualizar el CRM con lo que ha pasado esta semana</t>
        </is>
      </c>
      <c r="F31" s="39" t="inlineStr">
        <is>
          <t>Estado y fecha de último contacto de cada club o lead. Así la hoja Hoy cuenta bien.</t>
        </is>
      </c>
      <c r="G31" s="39" t="inlineStr">
        <is>
          <t>Segmento A, B, C</t>
        </is>
      </c>
      <c r="H31" s="39" t="n">
        <v>15</v>
      </c>
      <c r="I31" s="39" t="inlineStr">
        <is>
          <t>Pendiente</t>
        </is>
      </c>
      <c r="J31" s="39" t="n"/>
    </row>
    <row r="32" ht="33" customHeight="1">
      <c r="A32" s="38" t="n">
        <v>46312</v>
      </c>
      <c r="B32" s="39" t="inlineStr">
        <is>
          <t>Sábado</t>
        </is>
      </c>
      <c r="C32" s="40" t="inlineStr">
        <is>
          <t>Libre</t>
        </is>
      </c>
      <c r="D32" s="49" t="inlineStr">
        <is>
          <t>Instagram</t>
        </is>
      </c>
      <c r="E32" s="31" t="inlineStr">
        <is>
          <t>Sesión de redes sociales y marca personal con Claude (60 min)</t>
        </is>
      </c>
      <c r="F32" s="39" t="inlineStr">
        <is>
          <t>Objetivo: 10.000 seguidores antes de fin de 2026. Salir con un plan de contenido de 4 semanas y qué publicar esta semana. Sin fotos de menores identificables.</t>
        </is>
      </c>
      <c r="G32" s="39" t="inlineStr">
        <is>
          <t>Chat con Claude</t>
        </is>
      </c>
      <c r="H32" s="39" t="n">
        <v>60</v>
      </c>
      <c r="I32" s="39" t="inlineStr">
        <is>
          <t>Pendiente</t>
        </is>
      </c>
      <c r="J32" s="39" t="n"/>
    </row>
    <row r="33" ht="22" customHeight="1">
      <c r="A33" s="37" t="inlineStr">
        <is>
          <t>SEMANA  19/10 a 25/10</t>
        </is>
      </c>
    </row>
    <row r="34" ht="62" customHeight="1">
      <c r="A34" s="38" t="n">
        <v>46314</v>
      </c>
      <c r="B34" s="39" t="inlineStr">
        <is>
          <t>Lunes</t>
        </is>
      </c>
      <c r="C34" s="40" t="inlineStr">
        <is>
          <t>8:00</t>
        </is>
      </c>
      <c r="D34" s="41" t="inlineStr">
        <is>
          <t>Todos</t>
        </is>
      </c>
      <c r="E34" s="31" t="inlineStr">
        <is>
          <t>Revisión diaria: bandeja, Instagram, WhatsApp</t>
        </is>
      </c>
      <c r="F34"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34" s="39" t="inlineStr">
        <is>
          <t>Textos para copiar (final de la hoja)</t>
        </is>
      </c>
      <c r="H34" s="39" t="n">
        <v>15</v>
      </c>
      <c r="I34" s="39" t="inlineStr">
        <is>
          <t>Pendiente</t>
        </is>
      </c>
      <c r="J34" s="39" t="n"/>
    </row>
    <row r="35" ht="33" customHeight="1">
      <c r="A35" s="38" t="n">
        <v>46314</v>
      </c>
      <c r="B35" s="39" t="inlineStr">
        <is>
          <t>Lunes</t>
        </is>
      </c>
      <c r="C35" s="40" t="inlineStr">
        <is>
          <t>Libre</t>
        </is>
      </c>
      <c r="D35" s="43" t="inlineStr">
        <is>
          <t>Team/Coach</t>
        </is>
      </c>
      <c r="E35" s="31" t="inlineStr">
        <is>
          <t>Pedirme: «investiga 10 clubes más» para la siguiente tanda</t>
        </is>
      </c>
      <c r="F35" s="39" t="inlineStr">
        <is>
          <t>Escríbeme esa frase. Yo verifico decisor y email en la web del club y te dejo los correos listos en esta hoja antes del jueves.</t>
        </is>
      </c>
      <c r="G35" s="39" t="inlineStr">
        <is>
          <t>Chat con Claude</t>
        </is>
      </c>
      <c r="H35" s="39" t="n">
        <v>5</v>
      </c>
      <c r="I35" s="39" t="inlineStr">
        <is>
          <t>Pendiente</t>
        </is>
      </c>
      <c r="J35" s="39" t="n"/>
    </row>
    <row r="36" ht="33" customHeight="1">
      <c r="A36" s="38" t="n">
        <v>46314</v>
      </c>
      <c r="B36" s="39" t="inlineStr">
        <is>
          <t>Lunes</t>
        </is>
      </c>
      <c r="C36" s="40" t="inlineStr">
        <is>
          <t>Libre</t>
        </is>
      </c>
      <c r="D36" s="42" t="inlineStr">
        <is>
          <t>Becas</t>
        </is>
      </c>
      <c r="E36" s="31" t="inlineStr">
        <is>
          <t>Revisar leads de becas con acción vencida</t>
        </is>
      </c>
      <c r="F36" s="39" t="inlineStr">
        <is>
          <t>Pestaña Segmento C - Becas: ordena por 'Próxima acción'. Contesta o actualiza todo lo atrasado. Aplica las 4 preguntas de cualificación.</t>
        </is>
      </c>
      <c r="G36" s="39" t="inlineStr">
        <is>
          <t>Segmento C - Becas</t>
        </is>
      </c>
      <c r="H36" s="39" t="n">
        <v>20</v>
      </c>
      <c r="I36" s="39" t="inlineStr">
        <is>
          <t>Pendiente</t>
        </is>
      </c>
      <c r="J36" s="39" t="n"/>
    </row>
    <row r="37" ht="76.5" customHeight="1">
      <c r="A37" s="38" t="n">
        <v>46314</v>
      </c>
      <c r="B37" s="39" t="inlineStr">
        <is>
          <t>Lunes</t>
        </is>
      </c>
      <c r="C37" s="40" t="inlineStr">
        <is>
          <t>Libre</t>
        </is>
      </c>
      <c r="D37" s="43" t="inlineStr">
        <is>
          <t>Team/Coach</t>
        </is>
      </c>
      <c r="E37" s="31" t="inlineStr">
        <is>
          <t>LinkedIn: conectar con Luke Johnston (Whitehaven AFC)</t>
        </is>
      </c>
      <c r="F37" s="39" t="inlineStr">
        <is>
          <t>A mano en LinkedIn: perfil de la persona &gt; Conectar &gt; Añadir nota &gt; pegar el texto (máx. 300 caracteres). Si no deja añadir nota, conecta sin nota y manda el texto cuando acepte. Texto: «Hi Luke, I'm Joel, I run Always Up. We take youth teams to Spain to train with Atlético de Madrid and Real Sociedad. I emailed you this week and thought I'd connect here too. Joel»</t>
        </is>
      </c>
      <c r="G37" s="39" t="inlineStr">
        <is>
          <t>Textos para copiar</t>
        </is>
      </c>
      <c r="H37" s="39" t="n">
        <v>5</v>
      </c>
      <c r="I37" s="39" t="inlineStr">
        <is>
          <t>Pendiente</t>
        </is>
      </c>
      <c r="J37" s="39" t="n"/>
    </row>
    <row r="38" ht="33" customHeight="1">
      <c r="A38" s="38" t="n">
        <v>46314</v>
      </c>
      <c r="B38" s="39" t="inlineStr">
        <is>
          <t>Lunes</t>
        </is>
      </c>
      <c r="C38" s="40" t="inlineStr">
        <is>
          <t>Libre</t>
        </is>
      </c>
      <c r="D38" s="43" t="inlineStr">
        <is>
          <t>Team/Coach</t>
        </is>
      </c>
      <c r="E38" s="31" t="inlineStr">
        <is>
          <t>LinkedIn: 10 minutos de actividad</t>
        </is>
      </c>
      <c r="F38" s="39" t="inlineStr">
        <is>
          <t>Acepta conexiones, comenta tres publicaciones de entrenadores o clubes con algo de valor (no publicidad). Eso hace que te vean antes de que llegue el email.</t>
        </is>
      </c>
      <c r="G38" s="39" t="inlineStr"/>
      <c r="H38" s="39" t="n">
        <v>10</v>
      </c>
      <c r="I38" s="39" t="inlineStr">
        <is>
          <t>Pendiente</t>
        </is>
      </c>
      <c r="J38" s="39" t="n"/>
    </row>
    <row r="39" ht="33" customHeight="1">
      <c r="A39" s="38" t="n">
        <v>46314</v>
      </c>
      <c r="B39" s="39" t="inlineStr">
        <is>
          <t>Lunes</t>
        </is>
      </c>
      <c r="C39" s="40" t="inlineStr">
        <is>
          <t>Libre</t>
        </is>
      </c>
      <c r="D39" s="49" t="inlineStr">
        <is>
          <t>Instagram</t>
        </is>
      </c>
      <c r="E39" s="31" t="inlineStr">
        <is>
          <t>Publicar o subir una story/post</t>
        </is>
      </c>
      <c r="F39" s="39" t="inlineStr">
        <is>
          <t>Lo que tengas de la experiencia (partidos, estadio, instalaciones, sin menores identificables) o el plan que salga de la sesión del 17/10. Mínimo una story.</t>
        </is>
      </c>
      <c r="G39" s="39" t="inlineStr"/>
      <c r="H39" s="39" t="n">
        <v>15</v>
      </c>
      <c r="I39" s="39" t="inlineStr">
        <is>
          <t>Pendiente</t>
        </is>
      </c>
      <c r="J39" s="39" t="n"/>
    </row>
    <row r="40" ht="192.5" customHeight="1">
      <c r="A40" s="38" t="n">
        <v>46314</v>
      </c>
      <c r="B40" s="39" t="inlineStr">
        <is>
          <t>Lunes</t>
        </is>
      </c>
      <c r="C40" s="40" t="inlineStr">
        <is>
          <t>20:00</t>
        </is>
      </c>
      <c r="D40" s="43" t="inlineStr">
        <is>
          <t>Team/Coach</t>
        </is>
      </c>
      <c r="E40" s="31" t="inlineStr">
        <is>
          <t>Preparar (y programar si puedes) los envíos del martes 20/10</t>
        </is>
      </c>
      <c r="F40" s="39" t="inlineStr">
        <is>
          <t>Para cada correo: copia Para, Asunto y Texto de la hoja 'Textos para copiar' (filtra por la fecha 20/10). Revisa en 30 segundos: saludo, nombre del club, firma abajo, sin adjuntos. Programa el envío a la hora indicada si tu correo lo permite (ver LEEME). Si no puedes programar, no pasa nada: mañana a las 07:30 de Nueva York los envías a mano.
• FC Porte d'Aquitaine | Email 1 | programar para las 03:30 hora Nueva York (09:30 locales). Texto: fila de la hoja Textos para copiar del 20/10.
• Hastings United | Follow-up 1 | programar para las 04:30 hora Nueva York (09:30 locales). Texto: fila de la hoja Textos para copiar del 20/10.
• Home Farm FC | Follow-up 1 | programar para las 04:30 hora Nueva York (09:30 locales). Texto: fila de la hoja Textos para copiar del 20/10.
• Virtu Academy | Email 1 | programar para las 04:30 hora Nueva York (09:30 locales). Texto: fila de la hoja Textos para copiar del 20/10.</t>
        </is>
      </c>
      <c r="G40" s="39" t="inlineStr">
        <is>
          <t>Textos para copiar</t>
        </is>
      </c>
      <c r="H40" s="39" t="n">
        <v>35</v>
      </c>
      <c r="I40" s="39" t="inlineStr">
        <is>
          <t>Pendiente</t>
        </is>
      </c>
      <c r="J40" s="39" t="n"/>
    </row>
    <row r="41" ht="47.5" customHeight="1">
      <c r="A41" s="44" t="n">
        <v>46315</v>
      </c>
      <c r="B41" s="45" t="inlineStr">
        <is>
          <t>Martes</t>
        </is>
      </c>
      <c r="C41" s="46" t="inlineStr">
        <is>
          <t>03:30</t>
        </is>
      </c>
      <c r="D41" s="47" t="inlineStr">
        <is>
          <t>Team/Coach</t>
        </is>
      </c>
      <c r="E41" s="45" t="inlineStr">
        <is>
          <t>SALE (programado): Email 1 a FC Porte d'Aquitaine</t>
        </is>
      </c>
      <c r="F41" s="45" t="inlineStr">
        <is>
          <t>No tienes que hacer nada a esta hora si lo programaste la víspera. Si no pudiste programar, envíalo a mano a las 07:30 de Nueva York. Texto en 'Textos para copiar'.</t>
        </is>
      </c>
      <c r="G41" s="45" t="inlineStr">
        <is>
          <t>Textos para copiar</t>
        </is>
      </c>
      <c r="H41" s="45" t="n"/>
      <c r="I41" s="45" t="inlineStr">
        <is>
          <t>Automático</t>
        </is>
      </c>
      <c r="J41" s="45" t="n"/>
    </row>
    <row r="42" ht="47.5" customHeight="1">
      <c r="A42" s="44" t="n">
        <v>46315</v>
      </c>
      <c r="B42" s="45" t="inlineStr">
        <is>
          <t>Martes</t>
        </is>
      </c>
      <c r="C42" s="46" t="inlineStr">
        <is>
          <t>04:30</t>
        </is>
      </c>
      <c r="D42" s="47" t="inlineStr">
        <is>
          <t>Team/Coach</t>
        </is>
      </c>
      <c r="E42" s="45" t="inlineStr">
        <is>
          <t>SALE (programado): Follow-up 1 a Hastings United</t>
        </is>
      </c>
      <c r="F42" s="45" t="inlineStr">
        <is>
          <t>No tienes que hacer nada a esta hora si lo programaste la víspera. Si no pudiste programar, envíalo a mano a las 07:30 de Nueva York. Texto en 'Textos para copiar'.</t>
        </is>
      </c>
      <c r="G42" s="45" t="inlineStr">
        <is>
          <t>Textos para copiar</t>
        </is>
      </c>
      <c r="H42" s="45" t="n"/>
      <c r="I42" s="45" t="inlineStr">
        <is>
          <t>Automático</t>
        </is>
      </c>
      <c r="J42" s="45" t="n"/>
    </row>
    <row r="43" ht="47.5" customHeight="1">
      <c r="A43" s="44" t="n">
        <v>46315</v>
      </c>
      <c r="B43" s="45" t="inlineStr">
        <is>
          <t>Martes</t>
        </is>
      </c>
      <c r="C43" s="46" t="inlineStr">
        <is>
          <t>04:30</t>
        </is>
      </c>
      <c r="D43" s="47" t="inlineStr">
        <is>
          <t>Team/Coach</t>
        </is>
      </c>
      <c r="E43" s="45" t="inlineStr">
        <is>
          <t>SALE (programado): Follow-up 1 a Home Farm FC</t>
        </is>
      </c>
      <c r="F43" s="45" t="inlineStr">
        <is>
          <t>No tienes que hacer nada a esta hora si lo programaste la víspera. Si no pudiste programar, envíalo a mano a las 07:30 de Nueva York. Texto en 'Textos para copiar'.</t>
        </is>
      </c>
      <c r="G43" s="45" t="inlineStr">
        <is>
          <t>Textos para copiar</t>
        </is>
      </c>
      <c r="H43" s="45" t="n"/>
      <c r="I43" s="45" t="inlineStr">
        <is>
          <t>Automático</t>
        </is>
      </c>
      <c r="J43" s="45" t="n"/>
    </row>
    <row r="44" ht="47.5" customHeight="1">
      <c r="A44" s="44" t="n">
        <v>46315</v>
      </c>
      <c r="B44" s="45" t="inlineStr">
        <is>
          <t>Martes</t>
        </is>
      </c>
      <c r="C44" s="46" t="inlineStr">
        <is>
          <t>04:30</t>
        </is>
      </c>
      <c r="D44" s="47" t="inlineStr">
        <is>
          <t>Team/Coach</t>
        </is>
      </c>
      <c r="E44" s="45" t="inlineStr">
        <is>
          <t>SALE (programado): Email 1 a Virtu Academy</t>
        </is>
      </c>
      <c r="F44" s="45" t="inlineStr">
        <is>
          <t>No tienes que hacer nada a esta hora si lo programaste la víspera. Si no pudiste programar, envíalo a mano a las 07:30 de Nueva York. Texto en 'Textos para copiar'.</t>
        </is>
      </c>
      <c r="G44" s="45" t="inlineStr">
        <is>
          <t>Textos para copiar</t>
        </is>
      </c>
      <c r="H44" s="45" t="n"/>
      <c r="I44" s="45" t="inlineStr">
        <is>
          <t>Automático</t>
        </is>
      </c>
      <c r="J44" s="45" t="n"/>
    </row>
    <row r="45" ht="62" customHeight="1">
      <c r="A45" s="38" t="n">
        <v>46315</v>
      </c>
      <c r="B45" s="39" t="inlineStr">
        <is>
          <t>Martes</t>
        </is>
      </c>
      <c r="C45" s="40" t="inlineStr">
        <is>
          <t>8:00</t>
        </is>
      </c>
      <c r="D45" s="41" t="inlineStr">
        <is>
          <t>Todos</t>
        </is>
      </c>
      <c r="E45" s="31" t="inlineStr">
        <is>
          <t>Revisión diaria: bandeja, Instagram, WhatsApp</t>
        </is>
      </c>
      <c r="F45"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45" s="39" t="inlineStr">
        <is>
          <t>Textos para copiar (final de la hoja)</t>
        </is>
      </c>
      <c r="H45" s="39" t="n">
        <v>15</v>
      </c>
      <c r="I45" s="39" t="inlineStr">
        <is>
          <t>Pendiente</t>
        </is>
      </c>
      <c r="J45" s="39" t="n"/>
    </row>
    <row r="46" ht="47.5" customHeight="1">
      <c r="A46" s="38" t="n">
        <v>46315</v>
      </c>
      <c r="B46" s="39" t="inlineStr">
        <is>
          <t>Martes</t>
        </is>
      </c>
      <c r="C46" s="40" t="inlineStr">
        <is>
          <t>8:00</t>
        </is>
      </c>
      <c r="D46" s="43" t="inlineStr">
        <is>
          <t>Team/Coach</t>
        </is>
      </c>
      <c r="E46" s="31" t="inlineStr">
        <is>
          <t>Comprobar que salieron los correos de hoy y que no hay rebotes</t>
        </is>
      </c>
      <c r="F46" s="39" t="inlineStr">
        <is>
          <t>Carpeta Enviados: confirma que están. Recibidos: busca avisos de rebote (suelen llegar en minutos). Si uno rebota: apunta cuál en la columna Notas de esta fila y avísame; busco otra dirección del club y te la preparo.</t>
        </is>
      </c>
      <c r="G46" s="39" t="inlineStr">
        <is>
          <t>Enviados / Recibidos</t>
        </is>
      </c>
      <c r="H46" s="39" t="n">
        <v>5</v>
      </c>
      <c r="I46" s="39" t="inlineStr">
        <is>
          <t>Pendiente</t>
        </is>
      </c>
      <c r="J46" s="39" t="n"/>
    </row>
    <row r="47" ht="47.5" customHeight="1">
      <c r="A47" s="38" t="n">
        <v>46315</v>
      </c>
      <c r="B47" s="39" t="inlineStr">
        <is>
          <t>Martes</t>
        </is>
      </c>
      <c r="C47" s="40" t="inlineStr">
        <is>
          <t>Libre</t>
        </is>
      </c>
      <c r="D47" s="42" t="inlineStr">
        <is>
          <t>Becas</t>
        </is>
      </c>
      <c r="E47" s="31" t="inlineStr">
        <is>
          <t>Omar: último mensaje corto si sigue sin contestar</t>
        </is>
      </c>
      <c r="F47" s="39" t="inlineStr">
        <is>
          <t>«Hola Omar, no quiero atosigarte. Si en este momento no es prioridad, no pasa nada, lo dejamos aquí y lo retomamos cuando te venga bien. Si quieres seguir, mándame lo que tengas del vídeo y empezamos.» Después pásalo a 'Frío' en el CRM.</t>
        </is>
      </c>
      <c r="G47" s="39" t="inlineStr">
        <is>
          <t>Segmento C - Becas</t>
        </is>
      </c>
      <c r="H47" s="39" t="n">
        <v>5</v>
      </c>
      <c r="I47" s="39" t="inlineStr">
        <is>
          <t>Pendiente</t>
        </is>
      </c>
      <c r="J47" s="39" t="n"/>
    </row>
    <row r="48" ht="134.5" customHeight="1">
      <c r="A48" s="38" t="n">
        <v>46315</v>
      </c>
      <c r="B48" s="39" t="inlineStr">
        <is>
          <t>Martes</t>
        </is>
      </c>
      <c r="C48" s="40" t="inlineStr">
        <is>
          <t>20:00</t>
        </is>
      </c>
      <c r="D48" s="43" t="inlineStr">
        <is>
          <t>Team/Coach</t>
        </is>
      </c>
      <c r="E48" s="31" t="inlineStr">
        <is>
          <t>Preparar (y programar si puedes) los envíos del miércoles 21/10</t>
        </is>
      </c>
      <c r="F48" s="39" t="inlineStr">
        <is>
          <t>Para cada correo: copia Para, Asunto y Texto de la hoja 'Textos para copiar' (filtra por la fecha 21/10). Revisa en 30 segundos: saludo, nombre del club, firma abajo, sin adjuntos. Programa el envío a la hora indicada si tu correo lo permite (ver LEEME). Si no puedes programar, no pasa nada: mañana a las 07:30 de Nueva York los envías a mano.
• Holbeach United | Follow-up 1 | programar para las 04:30 hora Nueva York (09:30 locales). Texto: fila de la hoja Textos para copiar del 21/10.
• Søreide IL | Follow-up 1 | programar para las 03:30 hora Nueva York (09:30 locales). Texto: fila de la hoja Textos para copiar del 21/10.</t>
        </is>
      </c>
      <c r="G48" s="39" t="inlineStr">
        <is>
          <t>Textos para copiar</t>
        </is>
      </c>
      <c r="H48" s="39" t="n">
        <v>25</v>
      </c>
      <c r="I48" s="39" t="inlineStr">
        <is>
          <t>Pendiente</t>
        </is>
      </c>
      <c r="J48" s="39" t="n"/>
    </row>
    <row r="49" ht="47.5" customHeight="1">
      <c r="A49" s="44" t="n">
        <v>46316</v>
      </c>
      <c r="B49" s="45" t="inlineStr">
        <is>
          <t>Miércoles</t>
        </is>
      </c>
      <c r="C49" s="46" t="inlineStr">
        <is>
          <t>03:30</t>
        </is>
      </c>
      <c r="D49" s="47" t="inlineStr">
        <is>
          <t>Team/Coach</t>
        </is>
      </c>
      <c r="E49" s="45" t="inlineStr">
        <is>
          <t>SALE (programado): Follow-up 1 a Søreide IL</t>
        </is>
      </c>
      <c r="F49" s="45" t="inlineStr">
        <is>
          <t>No tienes que hacer nada a esta hora si lo programaste la víspera. Si no pudiste programar, envíalo a mano a las 07:30 de Nueva York. Texto en 'Textos para copiar'.</t>
        </is>
      </c>
      <c r="G49" s="45" t="inlineStr">
        <is>
          <t>Textos para copiar</t>
        </is>
      </c>
      <c r="H49" s="45" t="n"/>
      <c r="I49" s="45" t="inlineStr">
        <is>
          <t>Automático</t>
        </is>
      </c>
      <c r="J49" s="45" t="n"/>
    </row>
    <row r="50" ht="47.5" customHeight="1">
      <c r="A50" s="44" t="n">
        <v>46316</v>
      </c>
      <c r="B50" s="45" t="inlineStr">
        <is>
          <t>Miércoles</t>
        </is>
      </c>
      <c r="C50" s="46" t="inlineStr">
        <is>
          <t>04:30</t>
        </is>
      </c>
      <c r="D50" s="47" t="inlineStr">
        <is>
          <t>Team/Coach</t>
        </is>
      </c>
      <c r="E50" s="45" t="inlineStr">
        <is>
          <t>SALE (programado): Follow-up 1 a Holbeach United</t>
        </is>
      </c>
      <c r="F50" s="45" t="inlineStr">
        <is>
          <t>No tienes que hacer nada a esta hora si lo programaste la víspera. Si no pudiste programar, envíalo a mano a las 07:30 de Nueva York. Texto en 'Textos para copiar'.</t>
        </is>
      </c>
      <c r="G50" s="45" t="inlineStr">
        <is>
          <t>Textos para copiar</t>
        </is>
      </c>
      <c r="H50" s="45" t="n"/>
      <c r="I50" s="45" t="inlineStr">
        <is>
          <t>Automático</t>
        </is>
      </c>
      <c r="J50" s="45" t="n"/>
    </row>
    <row r="51" ht="62" customHeight="1">
      <c r="A51" s="38" t="n">
        <v>46316</v>
      </c>
      <c r="B51" s="39" t="inlineStr">
        <is>
          <t>Miércoles</t>
        </is>
      </c>
      <c r="C51" s="40" t="inlineStr">
        <is>
          <t>8:00</t>
        </is>
      </c>
      <c r="D51" s="41" t="inlineStr">
        <is>
          <t>Todos</t>
        </is>
      </c>
      <c r="E51" s="31" t="inlineStr">
        <is>
          <t>Revisión diaria: bandeja, Instagram, WhatsApp</t>
        </is>
      </c>
      <c r="F51"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1" s="39" t="inlineStr">
        <is>
          <t>Textos para copiar (final de la hoja)</t>
        </is>
      </c>
      <c r="H51" s="39" t="n">
        <v>15</v>
      </c>
      <c r="I51" s="39" t="inlineStr">
        <is>
          <t>Pendiente</t>
        </is>
      </c>
      <c r="J51" s="39" t="n"/>
    </row>
    <row r="52" ht="47.5" customHeight="1">
      <c r="A52" s="38" t="n">
        <v>46316</v>
      </c>
      <c r="B52" s="39" t="inlineStr">
        <is>
          <t>Miércoles</t>
        </is>
      </c>
      <c r="C52" s="40" t="inlineStr">
        <is>
          <t>8:00</t>
        </is>
      </c>
      <c r="D52" s="43" t="inlineStr">
        <is>
          <t>Team/Coach</t>
        </is>
      </c>
      <c r="E52" s="31" t="inlineStr">
        <is>
          <t>Comprobar que salieron los correos de hoy y que no hay rebotes</t>
        </is>
      </c>
      <c r="F52" s="39" t="inlineStr">
        <is>
          <t>Carpeta Enviados: confirma que están. Recibidos: busca avisos de rebote (suelen llegar en minutos). Si uno rebota: apunta cuál en la columna Notas de esta fila y avísame; busco otra dirección del club y te la preparo.</t>
        </is>
      </c>
      <c r="G52" s="39" t="inlineStr">
        <is>
          <t>Enviados / Recibidos</t>
        </is>
      </c>
      <c r="H52" s="39" t="n">
        <v>5</v>
      </c>
      <c r="I52" s="39" t="inlineStr">
        <is>
          <t>Pendiente</t>
        </is>
      </c>
      <c r="J52" s="39" t="n"/>
    </row>
    <row r="53" ht="33" customHeight="1">
      <c r="A53" s="38" t="n">
        <v>46316</v>
      </c>
      <c r="B53" s="39" t="inlineStr">
        <is>
          <t>Miércoles</t>
        </is>
      </c>
      <c r="C53" s="40" t="inlineStr">
        <is>
          <t>Libre</t>
        </is>
      </c>
      <c r="D53" s="49" t="inlineStr">
        <is>
          <t>Instagram</t>
        </is>
      </c>
      <c r="E53" s="31" t="inlineStr">
        <is>
          <t>Publicar o subir una story/post</t>
        </is>
      </c>
      <c r="F53" s="39" t="inlineStr">
        <is>
          <t>Lo que tengas de la experiencia (partidos, estadio, instalaciones, sin menores identificables) o el plan que salga de la sesión del 17/10. Mínimo una story.</t>
        </is>
      </c>
      <c r="G53" s="39" t="inlineStr"/>
      <c r="H53" s="39" t="n">
        <v>15</v>
      </c>
      <c r="I53" s="39" t="inlineStr">
        <is>
          <t>Pendiente</t>
        </is>
      </c>
      <c r="J53" s="39" t="n"/>
    </row>
    <row r="54" ht="163.5" customHeight="1">
      <c r="A54" s="38" t="n">
        <v>46316</v>
      </c>
      <c r="B54" s="39" t="inlineStr">
        <is>
          <t>Miércoles</t>
        </is>
      </c>
      <c r="C54" s="40" t="inlineStr">
        <is>
          <t>20:00</t>
        </is>
      </c>
      <c r="D54" s="43" t="inlineStr">
        <is>
          <t>Team/Coach</t>
        </is>
      </c>
      <c r="E54" s="31" t="inlineStr">
        <is>
          <t>Preparar (y programar si puedes) los envíos del jueves 22/10</t>
        </is>
      </c>
      <c r="F54" s="39" t="inlineStr">
        <is>
          <t>Para cada correo: copia Para, Asunto y Texto de la hoja 'Textos para copiar' (filtra por la fecha 22/10). Revisa en 30 segundos: saludo, nombre del club, firma abajo, sin adjuntos. Programa el envío a la hora indicada si tu correo lo permite (ver LEEME). Si no puedes programar, no pasa nada: mañana a las 07:30 de Nueva York los envías a mano.
• IA Akranes | Follow-up 1 | programar para las 05:30 hora Nueva York (09:30 locales). Texto: fila de la hoja Textos para copiar del 22/10.
• Maidstone United | Follow-up 1 | programar para las 04:30 hora Nueva York (09:30 locales). Texto: fila de la hoja Textos para copiar del 22/10.
• Whitehaven AFC | Follow-up 1 | programar para las 04:30 hora Nueva York (09:30 locales). Texto: fila de la hoja Textos para copiar del 22/10.</t>
        </is>
      </c>
      <c r="G54" s="39" t="inlineStr">
        <is>
          <t>Textos para copiar</t>
        </is>
      </c>
      <c r="H54" s="39" t="n">
        <v>30</v>
      </c>
      <c r="I54" s="39" t="inlineStr">
        <is>
          <t>Pendiente</t>
        </is>
      </c>
      <c r="J54" s="39" t="n"/>
    </row>
    <row r="55" ht="47.5" customHeight="1">
      <c r="A55" s="44" t="n">
        <v>46317</v>
      </c>
      <c r="B55" s="45" t="inlineStr">
        <is>
          <t>Jueves</t>
        </is>
      </c>
      <c r="C55" s="46" t="inlineStr">
        <is>
          <t>04:30</t>
        </is>
      </c>
      <c r="D55" s="47" t="inlineStr">
        <is>
          <t>Team/Coach</t>
        </is>
      </c>
      <c r="E55" s="45" t="inlineStr">
        <is>
          <t>SALE (programado): Follow-up 1 a Maidstone United</t>
        </is>
      </c>
      <c r="F55" s="45" t="inlineStr">
        <is>
          <t>No tienes que hacer nada a esta hora si lo programaste la víspera. Si no pudiste programar, envíalo a mano a las 07:30 de Nueva York. Texto en 'Textos para copiar'.</t>
        </is>
      </c>
      <c r="G55" s="45" t="inlineStr">
        <is>
          <t>Textos para copiar</t>
        </is>
      </c>
      <c r="H55" s="45" t="n"/>
      <c r="I55" s="45" t="inlineStr">
        <is>
          <t>Automático</t>
        </is>
      </c>
      <c r="J55" s="45" t="n"/>
    </row>
    <row r="56" ht="47.5" customHeight="1">
      <c r="A56" s="44" t="n">
        <v>46317</v>
      </c>
      <c r="B56" s="45" t="inlineStr">
        <is>
          <t>Jueves</t>
        </is>
      </c>
      <c r="C56" s="46" t="inlineStr">
        <is>
          <t>04:30</t>
        </is>
      </c>
      <c r="D56" s="47" t="inlineStr">
        <is>
          <t>Team/Coach</t>
        </is>
      </c>
      <c r="E56" s="45" t="inlineStr">
        <is>
          <t>SALE (programado): Follow-up 1 a Whitehaven AFC</t>
        </is>
      </c>
      <c r="F56" s="45" t="inlineStr">
        <is>
          <t>No tienes que hacer nada a esta hora si lo programaste la víspera. Si no pudiste programar, envíalo a mano a las 07:30 de Nueva York. Texto en 'Textos para copiar'.</t>
        </is>
      </c>
      <c r="G56" s="45" t="inlineStr">
        <is>
          <t>Textos para copiar</t>
        </is>
      </c>
      <c r="H56" s="45" t="n"/>
      <c r="I56" s="45" t="inlineStr">
        <is>
          <t>Automático</t>
        </is>
      </c>
      <c r="J56" s="45" t="n"/>
    </row>
    <row r="57" ht="47.5" customHeight="1">
      <c r="A57" s="44" t="n">
        <v>46317</v>
      </c>
      <c r="B57" s="45" t="inlineStr">
        <is>
          <t>Jueves</t>
        </is>
      </c>
      <c r="C57" s="46" t="inlineStr">
        <is>
          <t>05:30</t>
        </is>
      </c>
      <c r="D57" s="47" t="inlineStr">
        <is>
          <t>Team/Coach</t>
        </is>
      </c>
      <c r="E57" s="45" t="inlineStr">
        <is>
          <t>SALE (programado): Follow-up 1 a IA Akranes</t>
        </is>
      </c>
      <c r="F57" s="45" t="inlineStr">
        <is>
          <t>No tienes que hacer nada a esta hora si lo programaste la víspera. Si no pudiste programar, envíalo a mano a las 07:30 de Nueva York. Texto en 'Textos para copiar'.</t>
        </is>
      </c>
      <c r="G57" s="45" t="inlineStr">
        <is>
          <t>Textos para copiar</t>
        </is>
      </c>
      <c r="H57" s="45" t="n"/>
      <c r="I57" s="45" t="inlineStr">
        <is>
          <t>Automático</t>
        </is>
      </c>
      <c r="J57" s="45" t="n"/>
    </row>
    <row r="58" ht="62" customHeight="1">
      <c r="A58" s="38" t="n">
        <v>46317</v>
      </c>
      <c r="B58" s="39" t="inlineStr">
        <is>
          <t>Jueves</t>
        </is>
      </c>
      <c r="C58" s="40" t="inlineStr">
        <is>
          <t>8:00</t>
        </is>
      </c>
      <c r="D58" s="41" t="inlineStr">
        <is>
          <t>Todos</t>
        </is>
      </c>
      <c r="E58" s="31" t="inlineStr">
        <is>
          <t>Revisión diaria: bandeja, Instagram, WhatsApp</t>
        </is>
      </c>
      <c r="F58"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8" s="39" t="inlineStr">
        <is>
          <t>Textos para copiar (final de la hoja)</t>
        </is>
      </c>
      <c r="H58" s="39" t="n">
        <v>15</v>
      </c>
      <c r="I58" s="39" t="inlineStr">
        <is>
          <t>Pendiente</t>
        </is>
      </c>
      <c r="J58" s="39" t="n"/>
    </row>
    <row r="59" ht="47.5" customHeight="1">
      <c r="A59" s="38" t="n">
        <v>46317</v>
      </c>
      <c r="B59" s="39" t="inlineStr">
        <is>
          <t>Jueves</t>
        </is>
      </c>
      <c r="C59" s="40" t="inlineStr">
        <is>
          <t>8:00</t>
        </is>
      </c>
      <c r="D59" s="43" t="inlineStr">
        <is>
          <t>Team/Coach</t>
        </is>
      </c>
      <c r="E59" s="31" t="inlineStr">
        <is>
          <t>Comprobar que salieron los correos de hoy y que no hay rebotes</t>
        </is>
      </c>
      <c r="F59" s="39" t="inlineStr">
        <is>
          <t>Carpeta Enviados: confirma que están. Recibidos: busca avisos de rebote (suelen llegar en minutos). Si uno rebota: apunta cuál en la columna Notas de esta fila y avísame; busco otra dirección del club y te la preparo.</t>
        </is>
      </c>
      <c r="G59" s="39" t="inlineStr">
        <is>
          <t>Enviados / Recibidos</t>
        </is>
      </c>
      <c r="H59" s="39" t="n">
        <v>5</v>
      </c>
      <c r="I59" s="39" t="inlineStr">
        <is>
          <t>Pendiente</t>
        </is>
      </c>
      <c r="J59" s="39" t="n"/>
    </row>
    <row r="60" ht="47.5" customHeight="1">
      <c r="A60" s="38" t="n">
        <v>46317</v>
      </c>
      <c r="B60" s="39" t="inlineStr">
        <is>
          <t>Jueves</t>
        </is>
      </c>
      <c r="C60" s="40" t="inlineStr">
        <is>
          <t>Libre</t>
        </is>
      </c>
      <c r="D60" s="43" t="inlineStr">
        <is>
          <t>Team/Coach</t>
        </is>
      </c>
      <c r="E60" s="31" t="inlineStr">
        <is>
          <t>Preguntar a Atlético y Real Sociedad por las fechas reales de Semana Santa y verano 2027</t>
        </is>
      </c>
      <c r="F60" s="39" t="inlineStr">
        <is>
          <t>Necesitamos saber qué semanas hay disponibles y hasta cuándo se pueden reservar. Con eso tendremos urgencia real y honesta para los follow-ups (hoy no la tenemos). Puede hacerlo Enrique.</t>
        </is>
      </c>
      <c r="G60" s="39" t="inlineStr"/>
      <c r="H60" s="39" t="n">
        <v>20</v>
      </c>
      <c r="I60" s="39" t="inlineStr">
        <is>
          <t>Pendiente</t>
        </is>
      </c>
      <c r="J60" s="39" t="n"/>
    </row>
    <row r="61" ht="62" customHeight="1">
      <c r="A61" s="38" t="n">
        <v>46318</v>
      </c>
      <c r="B61" s="39" t="inlineStr">
        <is>
          <t>Viernes</t>
        </is>
      </c>
      <c r="C61" s="40" t="inlineStr">
        <is>
          <t>8:00</t>
        </is>
      </c>
      <c r="D61" s="41" t="inlineStr">
        <is>
          <t>Todos</t>
        </is>
      </c>
      <c r="E61" s="31" t="inlineStr">
        <is>
          <t>Revisión diaria: bandeja, Instagram, WhatsApp</t>
        </is>
      </c>
      <c r="F61"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1" s="39" t="inlineStr">
        <is>
          <t>Textos para copiar (final de la hoja)</t>
        </is>
      </c>
      <c r="H61" s="39" t="n">
        <v>15</v>
      </c>
      <c r="I61" s="39" t="inlineStr">
        <is>
          <t>Pendiente</t>
        </is>
      </c>
      <c r="J61" s="39" t="n"/>
    </row>
    <row r="62" ht="62" customHeight="1">
      <c r="A62" s="38" t="n">
        <v>46318</v>
      </c>
      <c r="B62" s="39" t="inlineStr">
        <is>
          <t>Viernes</t>
        </is>
      </c>
      <c r="C62" s="40" t="inlineStr">
        <is>
          <t>Libre</t>
        </is>
      </c>
      <c r="D62" s="41" t="inlineStr">
        <is>
          <t>Todos</t>
        </is>
      </c>
      <c r="E62" s="31" t="inlineStr">
        <is>
          <t>Sesión con Enrique: política de anticipo y Campus Internacional</t>
        </is>
      </c>
      <c r="F62" s="39" t="inlineStr">
        <is>
          <t>Dos decisiones: (1) qué anticipo pedimos para reservar fechas (sugiero 20 a 30 % con condiciones de cancelación escritas) y qué dice el contrato sobre menores y seguros; (2) estructura A o B del Campus Internacional con ATM y RS y quién asume el riesgo de plazas. Sin esto, las llamadas acaban en «lo pensamos».</t>
        </is>
      </c>
      <c r="G62" s="39" t="inlineStr">
        <is>
          <t>plan-outreach-30-dias.md sección 7</t>
        </is>
      </c>
      <c r="H62" s="39" t="n">
        <v>45</v>
      </c>
      <c r="I62" s="39" t="inlineStr">
        <is>
          <t>Pendiente</t>
        </is>
      </c>
      <c r="J62" s="39" t="n"/>
    </row>
    <row r="63" ht="33" customHeight="1">
      <c r="A63" s="38" t="n">
        <v>46318</v>
      </c>
      <c r="B63" s="39" t="inlineStr">
        <is>
          <t>Viernes</t>
        </is>
      </c>
      <c r="C63" s="40" t="inlineStr">
        <is>
          <t>Libre</t>
        </is>
      </c>
      <c r="D63" s="48" t="inlineStr">
        <is>
          <t>International Program</t>
        </is>
      </c>
      <c r="E63" s="31" t="inlineStr">
        <is>
          <t>Preguntar a Real Sociedad por plazas y plazos del International Program 2027</t>
        </is>
      </c>
      <c r="F63" s="39" t="inlineStr">
        <is>
          <t>Para poder vender con fechas límite reales. Lo puede preguntar Enrique en la misma conversación.</t>
        </is>
      </c>
      <c r="G63" s="39" t="inlineStr"/>
      <c r="H63" s="39" t="n">
        <v>10</v>
      </c>
      <c r="I63" s="39" t="inlineStr">
        <is>
          <t>Pendiente</t>
        </is>
      </c>
      <c r="J63" s="39" t="n"/>
    </row>
    <row r="64" ht="33" customHeight="1">
      <c r="A64" s="38" t="n">
        <v>46318</v>
      </c>
      <c r="B64" s="39" t="inlineStr">
        <is>
          <t>Viernes</t>
        </is>
      </c>
      <c r="C64" s="40" t="inlineStr">
        <is>
          <t>Libre</t>
        </is>
      </c>
      <c r="D64" s="49" t="inlineStr">
        <is>
          <t>Instagram</t>
        </is>
      </c>
      <c r="E64" s="31" t="inlineStr">
        <is>
          <t>Publicar o subir una story/post</t>
        </is>
      </c>
      <c r="F64" s="39" t="inlineStr">
        <is>
          <t>Lo que tengas de la experiencia (partidos, estadio, instalaciones, sin menores identificables) o el plan que salga de la sesión del 17/10. Mínimo una story.</t>
        </is>
      </c>
      <c r="G64" s="39" t="inlineStr"/>
      <c r="H64" s="39" t="n">
        <v>15</v>
      </c>
      <c r="I64" s="39" t="inlineStr">
        <is>
          <t>Pendiente</t>
        </is>
      </c>
      <c r="J64" s="39" t="n"/>
    </row>
    <row r="65" ht="33" customHeight="1">
      <c r="A65" s="38" t="n">
        <v>46318</v>
      </c>
      <c r="B65" s="39" t="inlineStr">
        <is>
          <t>Viernes</t>
        </is>
      </c>
      <c r="C65" s="40" t="inlineStr">
        <is>
          <t>Libre</t>
        </is>
      </c>
      <c r="D65" s="41" t="inlineStr">
        <is>
          <t>Todos</t>
        </is>
      </c>
      <c r="E65" s="31" t="inlineStr">
        <is>
          <t>Actualizar el CRM con lo que ha pasado esta semana</t>
        </is>
      </c>
      <c r="F65" s="39" t="inlineStr">
        <is>
          <t>Estado y fecha de último contacto de cada club o lead. Así la hoja Hoy cuenta bien.</t>
        </is>
      </c>
      <c r="G65" s="39" t="inlineStr">
        <is>
          <t>Segmento A, B, C</t>
        </is>
      </c>
      <c r="H65" s="39" t="n">
        <v>15</v>
      </c>
      <c r="I65" s="39" t="inlineStr">
        <is>
          <t>Pendiente</t>
        </is>
      </c>
      <c r="J65" s="39" t="n"/>
    </row>
    <row r="66" ht="33" customHeight="1">
      <c r="A66" s="38" t="n">
        <v>46319</v>
      </c>
      <c r="B66" s="39" t="inlineStr">
        <is>
          <t>Sábado</t>
        </is>
      </c>
      <c r="C66" s="40" t="inlineStr">
        <is>
          <t>Libre</t>
        </is>
      </c>
      <c r="D66" s="48" t="inlineStr">
        <is>
          <t>GEE / Fichas</t>
        </is>
      </c>
      <c r="E66" s="31" t="inlineStr">
        <is>
          <t>Revisar las nuevas fichas (GEE, Campus Internacional, International Program)</t>
        </is>
      </c>
      <c r="F66" s="39" t="inlineStr">
        <is>
          <t>Las preparo yo tras tu feedback de la ficha de Becas. Tú revisas y me dices qué cambiar.</t>
        </is>
      </c>
      <c r="G66" s="39" t="inlineStr">
        <is>
          <t>02-sales/assets</t>
        </is>
      </c>
      <c r="H66" s="39" t="n">
        <v>30</v>
      </c>
      <c r="I66" s="39" t="inlineStr">
        <is>
          <t>Pendiente</t>
        </is>
      </c>
      <c r="J66" s="39" t="n"/>
    </row>
    <row r="67" ht="22" customHeight="1">
      <c r="A67" s="37" t="inlineStr">
        <is>
          <t>SEMANA  26/10 a 01/11</t>
        </is>
      </c>
    </row>
    <row r="68" ht="62" customHeight="1">
      <c r="A68" s="38" t="n">
        <v>46321</v>
      </c>
      <c r="B68" s="39" t="inlineStr">
        <is>
          <t>Lunes</t>
        </is>
      </c>
      <c r="C68" s="40" t="inlineStr">
        <is>
          <t>8:00</t>
        </is>
      </c>
      <c r="D68" s="41" t="inlineStr">
        <is>
          <t>Todos</t>
        </is>
      </c>
      <c r="E68" s="31" t="inlineStr">
        <is>
          <t>Revisión diaria: bandeja, Instagram, WhatsApp</t>
        </is>
      </c>
      <c r="F68"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8" s="39" t="inlineStr">
        <is>
          <t>Textos para copiar (final de la hoja)</t>
        </is>
      </c>
      <c r="H68" s="39" t="n">
        <v>15</v>
      </c>
      <c r="I68" s="39" t="inlineStr">
        <is>
          <t>Pendiente</t>
        </is>
      </c>
      <c r="J68" s="39" t="n"/>
    </row>
    <row r="69" ht="33" customHeight="1">
      <c r="A69" s="38" t="n">
        <v>46321</v>
      </c>
      <c r="B69" s="39" t="inlineStr">
        <is>
          <t>Lunes</t>
        </is>
      </c>
      <c r="C69" s="40" t="inlineStr">
        <is>
          <t>Libre</t>
        </is>
      </c>
      <c r="D69" s="43" t="inlineStr">
        <is>
          <t>Team/Coach</t>
        </is>
      </c>
      <c r="E69" s="31" t="inlineStr">
        <is>
          <t>Pedirme: «investiga 10 clubes más» para la siguiente tanda</t>
        </is>
      </c>
      <c r="F69" s="39" t="inlineStr">
        <is>
          <t>Escríbeme esa frase. Yo verifico decisor y email en la web del club y te dejo los correos listos en esta hoja antes del jueves.</t>
        </is>
      </c>
      <c r="G69" s="39" t="inlineStr">
        <is>
          <t>Chat con Claude</t>
        </is>
      </c>
      <c r="H69" s="39" t="n">
        <v>5</v>
      </c>
      <c r="I69" s="39" t="inlineStr">
        <is>
          <t>Pendiente</t>
        </is>
      </c>
      <c r="J69" s="39" t="n"/>
    </row>
    <row r="70" ht="33" customHeight="1">
      <c r="A70" s="38" t="n">
        <v>46321</v>
      </c>
      <c r="B70" s="39" t="inlineStr">
        <is>
          <t>Lunes</t>
        </is>
      </c>
      <c r="C70" s="40" t="inlineStr">
        <is>
          <t>Libre</t>
        </is>
      </c>
      <c r="D70" s="42" t="inlineStr">
        <is>
          <t>Becas</t>
        </is>
      </c>
      <c r="E70" s="31" t="inlineStr">
        <is>
          <t>Revisar leads de becas con acción vencida</t>
        </is>
      </c>
      <c r="F70" s="39" t="inlineStr">
        <is>
          <t>Pestaña Segmento C - Becas: ordena por 'Próxima acción'. Contesta o actualiza todo lo atrasado. Aplica las 4 preguntas de cualificación.</t>
        </is>
      </c>
      <c r="G70" s="39" t="inlineStr">
        <is>
          <t>Segmento C - Becas</t>
        </is>
      </c>
      <c r="H70" s="39" t="n">
        <v>20</v>
      </c>
      <c r="I70" s="39" t="inlineStr">
        <is>
          <t>Pendiente</t>
        </is>
      </c>
      <c r="J70" s="39" t="n"/>
    </row>
    <row r="71" ht="33" customHeight="1">
      <c r="A71" s="38" t="n">
        <v>46321</v>
      </c>
      <c r="B71" s="39" t="inlineStr">
        <is>
          <t>Lunes</t>
        </is>
      </c>
      <c r="C71" s="40" t="inlineStr">
        <is>
          <t>Libre</t>
        </is>
      </c>
      <c r="D71" s="48" t="inlineStr">
        <is>
          <t>Campus Internacional</t>
        </is>
      </c>
      <c r="E71" s="31" t="inlineStr">
        <is>
          <t>Retomar los contactos cálidos del Campus Internacional (Bélgica y Puerto Rico/SADE)</t>
        </is>
      </c>
      <c r="F71" s="39" t="inlineStr">
        <is>
          <t>Escríbeme cómo está cada uno. Con la decisión de la sesión del 23/10 les contestamos con una propuesta clara. No hacemos outreach frío de este servicio todavía.</t>
        </is>
      </c>
      <c r="G71" s="39" t="inlineStr">
        <is>
          <t>Oportunidades y notas</t>
        </is>
      </c>
      <c r="H71" s="39" t="n">
        <v>15</v>
      </c>
      <c r="I71" s="39" t="inlineStr">
        <is>
          <t>Pendiente</t>
        </is>
      </c>
      <c r="J71" s="39" t="n"/>
    </row>
    <row r="72" ht="33" customHeight="1">
      <c r="A72" s="38" t="n">
        <v>46321</v>
      </c>
      <c r="B72" s="39" t="inlineStr">
        <is>
          <t>Lunes</t>
        </is>
      </c>
      <c r="C72" s="40" t="inlineStr">
        <is>
          <t>Libre</t>
        </is>
      </c>
      <c r="D72" s="49" t="inlineStr">
        <is>
          <t>Instagram</t>
        </is>
      </c>
      <c r="E72" s="31" t="inlineStr">
        <is>
          <t>Publicar o subir una story/post</t>
        </is>
      </c>
      <c r="F72" s="39" t="inlineStr">
        <is>
          <t>Lo que tengas de la experiencia (partidos, estadio, instalaciones, sin menores identificables) o el plan que salga de la sesión del 17/10. Mínimo una story.</t>
        </is>
      </c>
      <c r="G72" s="39" t="inlineStr"/>
      <c r="H72" s="39" t="n">
        <v>15</v>
      </c>
      <c r="I72" s="39" t="inlineStr">
        <is>
          <t>Pendiente</t>
        </is>
      </c>
      <c r="J72" s="39" t="n"/>
    </row>
    <row r="73" ht="192.5" customHeight="1">
      <c r="A73" s="38" t="n">
        <v>46321</v>
      </c>
      <c r="B73" s="39" t="inlineStr">
        <is>
          <t>Lunes</t>
        </is>
      </c>
      <c r="C73" s="40" t="inlineStr">
        <is>
          <t>20:00</t>
        </is>
      </c>
      <c r="D73" s="43" t="inlineStr">
        <is>
          <t>Team/Coach</t>
        </is>
      </c>
      <c r="E73" s="31" t="inlineStr">
        <is>
          <t>Preparar (y programar si puedes) los envíos del martes 27/10</t>
        </is>
      </c>
      <c r="F73" s="39" t="inlineStr">
        <is>
          <t>Para cada correo: copia Para, Asunto y Texto de la hoja 'Textos para copiar' (filtra por la fecha 27/10). Revisa en 30 segundos: saludo, nombre del club, firma abajo, sin adjuntos. Programa el envío a la hora indicada si tu correo lo permite (ver LEEME). Si no puedes programar, no pasa nada: mañana a las 07:30 de Nueva York los envías a mano.
• FC Porte d'Aquitaine | Follow-up 1 | programar para las 04:30 hora Nueva York (09:30 locales). Texto: fila de la hoja Textos para copiar del 27/10.
• Hastings United | Follow-up 2 | programar para las 05:30 hora Nueva York (09:30 locales). Texto: fila de la hoja Textos para copiar del 27/10.
• Home Farm FC | Follow-up 2 | programar para las 05:30 hora Nueva York (09:30 locales). Texto: fila de la hoja Textos para copiar del 27/10.
• Virtu Academy | Follow-up 1 | programar para las 05:30 hora Nueva York (09:30 locales). Texto: fila de la hoja Textos para copiar del 27/10.</t>
        </is>
      </c>
      <c r="G73" s="39" t="inlineStr">
        <is>
          <t>Textos para copiar</t>
        </is>
      </c>
      <c r="H73" s="39" t="n">
        <v>35</v>
      </c>
      <c r="I73" s="39" t="inlineStr">
        <is>
          <t>Pendiente</t>
        </is>
      </c>
      <c r="J73" s="39" t="n"/>
    </row>
    <row r="74" ht="47.5" customHeight="1">
      <c r="A74" s="44" t="n">
        <v>46322</v>
      </c>
      <c r="B74" s="45" t="inlineStr">
        <is>
          <t>Martes</t>
        </is>
      </c>
      <c r="C74" s="46" t="inlineStr">
        <is>
          <t>04:30</t>
        </is>
      </c>
      <c r="D74" s="47" t="inlineStr">
        <is>
          <t>Team/Coach</t>
        </is>
      </c>
      <c r="E74" s="45" t="inlineStr">
        <is>
          <t>SALE (programado): Follow-up 1 a FC Porte d'Aquitaine</t>
        </is>
      </c>
      <c r="F74" s="45" t="inlineStr">
        <is>
          <t>No tienes que hacer nada a esta hora si lo programaste la víspera. Si no pudiste programar, envíalo a mano a las 07:30 de Nueva York. Texto en 'Textos para copiar'.</t>
        </is>
      </c>
      <c r="G74" s="45" t="inlineStr">
        <is>
          <t>Textos para copiar</t>
        </is>
      </c>
      <c r="H74" s="45" t="n"/>
      <c r="I74" s="45" t="inlineStr">
        <is>
          <t>Automático</t>
        </is>
      </c>
      <c r="J74" s="45" t="n"/>
    </row>
    <row r="75" ht="47.5" customHeight="1">
      <c r="A75" s="44" t="n">
        <v>46322</v>
      </c>
      <c r="B75" s="45" t="inlineStr">
        <is>
          <t>Martes</t>
        </is>
      </c>
      <c r="C75" s="46" t="inlineStr">
        <is>
          <t>05:30</t>
        </is>
      </c>
      <c r="D75" s="47" t="inlineStr">
        <is>
          <t>Team/Coach</t>
        </is>
      </c>
      <c r="E75" s="45" t="inlineStr">
        <is>
          <t>SALE (programado): Follow-up 2 a Hastings United</t>
        </is>
      </c>
      <c r="F75" s="45" t="inlineStr">
        <is>
          <t>No tienes que hacer nada a esta hora si lo programaste la víspera. Si no pudiste programar, envíalo a mano a las 07:30 de Nueva York. Texto en 'Textos para copiar'.</t>
        </is>
      </c>
      <c r="G75" s="45" t="inlineStr">
        <is>
          <t>Textos para copiar</t>
        </is>
      </c>
      <c r="H75" s="45" t="n"/>
      <c r="I75" s="45" t="inlineStr">
        <is>
          <t>Automático</t>
        </is>
      </c>
      <c r="J75" s="45" t="n"/>
    </row>
    <row r="76" ht="47.5" customHeight="1">
      <c r="A76" s="44" t="n">
        <v>46322</v>
      </c>
      <c r="B76" s="45" t="inlineStr">
        <is>
          <t>Martes</t>
        </is>
      </c>
      <c r="C76" s="46" t="inlineStr">
        <is>
          <t>05:30</t>
        </is>
      </c>
      <c r="D76" s="47" t="inlineStr">
        <is>
          <t>Team/Coach</t>
        </is>
      </c>
      <c r="E76" s="45" t="inlineStr">
        <is>
          <t>SALE (programado): Follow-up 2 a Home Farm FC</t>
        </is>
      </c>
      <c r="F76" s="45" t="inlineStr">
        <is>
          <t>No tienes que hacer nada a esta hora si lo programaste la víspera. Si no pudiste programar, envíalo a mano a las 07:30 de Nueva York. Texto en 'Textos para copiar'.</t>
        </is>
      </c>
      <c r="G76" s="45" t="inlineStr">
        <is>
          <t>Textos para copiar</t>
        </is>
      </c>
      <c r="H76" s="45" t="n"/>
      <c r="I76" s="45" t="inlineStr">
        <is>
          <t>Automático</t>
        </is>
      </c>
      <c r="J76" s="45" t="n"/>
    </row>
    <row r="77" ht="47.5" customHeight="1">
      <c r="A77" s="44" t="n">
        <v>46322</v>
      </c>
      <c r="B77" s="45" t="inlineStr">
        <is>
          <t>Martes</t>
        </is>
      </c>
      <c r="C77" s="46" t="inlineStr">
        <is>
          <t>05:30</t>
        </is>
      </c>
      <c r="D77" s="47" t="inlineStr">
        <is>
          <t>Team/Coach</t>
        </is>
      </c>
      <c r="E77" s="45" t="inlineStr">
        <is>
          <t>SALE (programado): Follow-up 1 a Virtu Academy</t>
        </is>
      </c>
      <c r="F77" s="45" t="inlineStr">
        <is>
          <t>No tienes que hacer nada a esta hora si lo programaste la víspera. Si no pudiste programar, envíalo a mano a las 07:30 de Nueva York. Texto en 'Textos para copiar'.</t>
        </is>
      </c>
      <c r="G77" s="45" t="inlineStr">
        <is>
          <t>Textos para copiar</t>
        </is>
      </c>
      <c r="H77" s="45" t="n"/>
      <c r="I77" s="45" t="inlineStr">
        <is>
          <t>Automático</t>
        </is>
      </c>
      <c r="J77" s="45" t="n"/>
    </row>
    <row r="78" ht="62" customHeight="1">
      <c r="A78" s="38" t="n">
        <v>46322</v>
      </c>
      <c r="B78" s="39" t="inlineStr">
        <is>
          <t>Martes</t>
        </is>
      </c>
      <c r="C78" s="40" t="inlineStr">
        <is>
          <t>8:00</t>
        </is>
      </c>
      <c r="D78" s="41" t="inlineStr">
        <is>
          <t>Todos</t>
        </is>
      </c>
      <c r="E78" s="31" t="inlineStr">
        <is>
          <t>Revisión diaria: bandeja, Instagram, WhatsApp</t>
        </is>
      </c>
      <c r="F78"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78" s="39" t="inlineStr">
        <is>
          <t>Textos para copiar (final de la hoja)</t>
        </is>
      </c>
      <c r="H78" s="39" t="n">
        <v>15</v>
      </c>
      <c r="I78" s="39" t="inlineStr">
        <is>
          <t>Pendiente</t>
        </is>
      </c>
      <c r="J78" s="39" t="n"/>
    </row>
    <row r="79" ht="47.5" customHeight="1">
      <c r="A79" s="38" t="n">
        <v>46322</v>
      </c>
      <c r="B79" s="39" t="inlineStr">
        <is>
          <t>Martes</t>
        </is>
      </c>
      <c r="C79" s="40" t="inlineStr">
        <is>
          <t>8:00</t>
        </is>
      </c>
      <c r="D79" s="43" t="inlineStr">
        <is>
          <t>Team/Coach</t>
        </is>
      </c>
      <c r="E79" s="31" t="inlineStr">
        <is>
          <t>Comprobar que salieron los correos de hoy y que no hay rebotes</t>
        </is>
      </c>
      <c r="F79" s="39" t="inlineStr">
        <is>
          <t>Carpeta Enviados: confirma que están. Recibidos: busca avisos de rebote (suelen llegar en minutos). Si uno rebota: apunta cuál en la columna Notas de esta fila y avísame; busco otra dirección del club y te la preparo.</t>
        </is>
      </c>
      <c r="G79" s="39" t="inlineStr">
        <is>
          <t>Enviados / Recibidos</t>
        </is>
      </c>
      <c r="H79" s="39" t="n">
        <v>5</v>
      </c>
      <c r="I79" s="39" t="inlineStr">
        <is>
          <t>Pendiente</t>
        </is>
      </c>
      <c r="J79" s="39" t="n"/>
    </row>
    <row r="80" ht="33" customHeight="1">
      <c r="A80" s="38" t="n">
        <v>46322</v>
      </c>
      <c r="B80" s="39" t="inlineStr">
        <is>
          <t>Martes</t>
        </is>
      </c>
      <c r="C80" s="40" t="inlineStr">
        <is>
          <t>Libre</t>
        </is>
      </c>
      <c r="D80" s="43" t="inlineStr">
        <is>
          <t>Team/Coach</t>
        </is>
      </c>
      <c r="E80" s="31" t="inlineStr">
        <is>
          <t>Enviar la tanda 3 de emails (los textos los tengo listos tras tu petición del 19/10)</t>
        </is>
      </c>
      <c r="F80" s="39" t="inlineStr">
        <is>
          <t>Aparecerán en la hoja Textos para copiar con su hora de programación.</t>
        </is>
      </c>
      <c r="G80" s="39" t="inlineStr">
        <is>
          <t>Textos para copiar</t>
        </is>
      </c>
      <c r="H80" s="39" t="n">
        <v>20</v>
      </c>
      <c r="I80" s="39" t="inlineStr">
        <is>
          <t>Pendiente</t>
        </is>
      </c>
      <c r="J80" s="39" t="n"/>
    </row>
    <row r="81" ht="134.5" customHeight="1">
      <c r="A81" s="38" t="n">
        <v>46322</v>
      </c>
      <c r="B81" s="39" t="inlineStr">
        <is>
          <t>Martes</t>
        </is>
      </c>
      <c r="C81" s="40" t="inlineStr">
        <is>
          <t>20:00</t>
        </is>
      </c>
      <c r="D81" s="43" t="inlineStr">
        <is>
          <t>Team/Coach</t>
        </is>
      </c>
      <c r="E81" s="31" t="inlineStr">
        <is>
          <t>Preparar (y programar si puedes) los envíos del miércoles 28/10</t>
        </is>
      </c>
      <c r="F81" s="39" t="inlineStr">
        <is>
          <t>Para cada correo: copia Para, Asunto y Texto de la hoja 'Textos para copiar' (filtra por la fecha 28/10). Revisa en 30 segundos: saludo, nombre del club, firma abajo, sin adjuntos. Programa el envío a la hora indicada si tu correo lo permite (ver LEEME). Si no puedes programar, no pasa nada: mañana a las 07:30 de Nueva York los envías a mano.
• Holbeach United | Follow-up 2 | programar para las 05:30 hora Nueva York (09:30 locales). Texto: fila de la hoja Textos para copiar del 28/10.
• Søreide IL | Follow-up 2 | programar para las 04:30 hora Nueva York (09:30 locales). Texto: fila de la hoja Textos para copiar del 28/10.</t>
        </is>
      </c>
      <c r="G81" s="39" t="inlineStr">
        <is>
          <t>Textos para copiar</t>
        </is>
      </c>
      <c r="H81" s="39" t="n">
        <v>25</v>
      </c>
      <c r="I81" s="39" t="inlineStr">
        <is>
          <t>Pendiente</t>
        </is>
      </c>
      <c r="J81" s="39" t="n"/>
    </row>
    <row r="82" ht="47.5" customHeight="1">
      <c r="A82" s="44" t="n">
        <v>46323</v>
      </c>
      <c r="B82" s="45" t="inlineStr">
        <is>
          <t>Miércoles</t>
        </is>
      </c>
      <c r="C82" s="46" t="inlineStr">
        <is>
          <t>04:30</t>
        </is>
      </c>
      <c r="D82" s="47" t="inlineStr">
        <is>
          <t>Team/Coach</t>
        </is>
      </c>
      <c r="E82" s="45" t="inlineStr">
        <is>
          <t>SALE (programado): Follow-up 2 a Søreide IL</t>
        </is>
      </c>
      <c r="F82" s="45" t="inlineStr">
        <is>
          <t>No tienes que hacer nada a esta hora si lo programaste la víspera. Si no pudiste programar, envíalo a mano a las 07:30 de Nueva York. Texto en 'Textos para copiar'.</t>
        </is>
      </c>
      <c r="G82" s="45" t="inlineStr">
        <is>
          <t>Textos para copiar</t>
        </is>
      </c>
      <c r="H82" s="45" t="n"/>
      <c r="I82" s="45" t="inlineStr">
        <is>
          <t>Automático</t>
        </is>
      </c>
      <c r="J82" s="45" t="n"/>
    </row>
    <row r="83" ht="47.5" customHeight="1">
      <c r="A83" s="44" t="n">
        <v>46323</v>
      </c>
      <c r="B83" s="45" t="inlineStr">
        <is>
          <t>Miércoles</t>
        </is>
      </c>
      <c r="C83" s="46" t="inlineStr">
        <is>
          <t>05:30</t>
        </is>
      </c>
      <c r="D83" s="47" t="inlineStr">
        <is>
          <t>Team/Coach</t>
        </is>
      </c>
      <c r="E83" s="45" t="inlineStr">
        <is>
          <t>SALE (programado): Follow-up 2 a Holbeach United</t>
        </is>
      </c>
      <c r="F83" s="45" t="inlineStr">
        <is>
          <t>No tienes que hacer nada a esta hora si lo programaste la víspera. Si no pudiste programar, envíalo a mano a las 07:30 de Nueva York. Texto en 'Textos para copiar'.</t>
        </is>
      </c>
      <c r="G83" s="45" t="inlineStr">
        <is>
          <t>Textos para copiar</t>
        </is>
      </c>
      <c r="H83" s="45" t="n"/>
      <c r="I83" s="45" t="inlineStr">
        <is>
          <t>Automático</t>
        </is>
      </c>
      <c r="J83" s="45" t="n"/>
    </row>
    <row r="84" ht="62" customHeight="1">
      <c r="A84" s="38" t="n">
        <v>46323</v>
      </c>
      <c r="B84" s="39" t="inlineStr">
        <is>
          <t>Miércoles</t>
        </is>
      </c>
      <c r="C84" s="40" t="inlineStr">
        <is>
          <t>8:00</t>
        </is>
      </c>
      <c r="D84" s="41" t="inlineStr">
        <is>
          <t>Todos</t>
        </is>
      </c>
      <c r="E84" s="31" t="inlineStr">
        <is>
          <t>Revisión diaria: bandeja, Instagram, WhatsApp</t>
        </is>
      </c>
      <c r="F84"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4" s="39" t="inlineStr">
        <is>
          <t>Textos para copiar (final de la hoja)</t>
        </is>
      </c>
      <c r="H84" s="39" t="n">
        <v>15</v>
      </c>
      <c r="I84" s="39" t="inlineStr">
        <is>
          <t>Pendiente</t>
        </is>
      </c>
      <c r="J84" s="39" t="n"/>
    </row>
    <row r="85" ht="47.5" customHeight="1">
      <c r="A85" s="38" t="n">
        <v>46323</v>
      </c>
      <c r="B85" s="39" t="inlineStr">
        <is>
          <t>Miércoles</t>
        </is>
      </c>
      <c r="C85" s="40" t="inlineStr">
        <is>
          <t>8:00</t>
        </is>
      </c>
      <c r="D85" s="43" t="inlineStr">
        <is>
          <t>Team/Coach</t>
        </is>
      </c>
      <c r="E85" s="31" t="inlineStr">
        <is>
          <t>Comprobar que salieron los correos de hoy y que no hay rebotes</t>
        </is>
      </c>
      <c r="F85" s="39" t="inlineStr">
        <is>
          <t>Carpeta Enviados: confirma que están. Recibidos: busca avisos de rebote (suelen llegar en minutos). Si uno rebota: apunta cuál en la columna Notas de esta fila y avísame; busco otra dirección del club y te la preparo.</t>
        </is>
      </c>
      <c r="G85" s="39" t="inlineStr">
        <is>
          <t>Enviados / Recibidos</t>
        </is>
      </c>
      <c r="H85" s="39" t="n">
        <v>5</v>
      </c>
      <c r="I85" s="39" t="inlineStr">
        <is>
          <t>Pendiente</t>
        </is>
      </c>
      <c r="J85" s="39" t="n"/>
    </row>
    <row r="86" ht="47.5" customHeight="1">
      <c r="A86" s="38" t="n">
        <v>46323</v>
      </c>
      <c r="B86" s="39" t="inlineStr">
        <is>
          <t>Miércoles</t>
        </is>
      </c>
      <c r="C86" s="40" t="inlineStr">
        <is>
          <t>Libre</t>
        </is>
      </c>
      <c r="D86" s="42" t="inlineStr">
        <is>
          <t>Becas</t>
        </is>
      </c>
      <c r="E86" s="31" t="inlineStr">
        <is>
          <t>Piloto: 5 mensajes a entrenadores de club o instituto que tengan jugadores de 15 a 18 años</t>
        </is>
      </c>
      <c r="F86" s="39" t="inlineStr">
        <is>
          <t>Yo investigo la lista y los textos (se entregan el 26/10). La idea: un entrenador que recomienda la ficha de Becas trae varias familias a la vez. Los textos nunca nombran al partner ni prometen becas.</t>
        </is>
      </c>
      <c r="G86" s="39" t="inlineStr">
        <is>
          <t>Textos para copiar</t>
        </is>
      </c>
      <c r="H86" s="39" t="n">
        <v>25</v>
      </c>
      <c r="I86" s="39" t="inlineStr">
        <is>
          <t>Pendiente</t>
        </is>
      </c>
      <c r="J86" s="39" t="n"/>
    </row>
    <row r="87" ht="76.5" customHeight="1">
      <c r="A87" s="38" t="n">
        <v>46323</v>
      </c>
      <c r="B87" s="39" t="inlineStr">
        <is>
          <t>Miércoles</t>
        </is>
      </c>
      <c r="C87" s="40" t="inlineStr">
        <is>
          <t>Libre</t>
        </is>
      </c>
      <c r="D87" s="43" t="inlineStr">
        <is>
          <t>Team/Coach</t>
        </is>
      </c>
      <c r="E87" s="31" t="inlineStr">
        <is>
          <t>Opcional: DM a Instagram de Hastings United (Hastings United)</t>
        </is>
      </c>
      <c r="F87"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7" s="39" t="inlineStr">
        <is>
          <t>Textos para copiar</t>
        </is>
      </c>
      <c r="H87" s="39" t="n">
        <v>5</v>
      </c>
      <c r="I87" s="39" t="inlineStr">
        <is>
          <t>Pendiente</t>
        </is>
      </c>
      <c r="J87" s="39" t="n"/>
    </row>
    <row r="88" ht="76.5" customHeight="1">
      <c r="A88" s="38" t="n">
        <v>46323</v>
      </c>
      <c r="B88" s="39" t="inlineStr">
        <is>
          <t>Miércoles</t>
        </is>
      </c>
      <c r="C88" s="40" t="inlineStr">
        <is>
          <t>Libre</t>
        </is>
      </c>
      <c r="D88" s="43" t="inlineStr">
        <is>
          <t>Team/Coach</t>
        </is>
      </c>
      <c r="E88" s="31" t="inlineStr">
        <is>
          <t>Opcional: DM a Facebook o Instagram de Home Farm FC (Home Farm FC)</t>
        </is>
      </c>
      <c r="F88"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8" s="39" t="inlineStr">
        <is>
          <t>Textos para copiar</t>
        </is>
      </c>
      <c r="H88" s="39" t="n">
        <v>5</v>
      </c>
      <c r="I88" s="39" t="inlineStr">
        <is>
          <t>Pendiente</t>
        </is>
      </c>
      <c r="J88" s="39" t="n"/>
    </row>
    <row r="89" ht="33" customHeight="1">
      <c r="A89" s="38" t="n">
        <v>46323</v>
      </c>
      <c r="B89" s="39" t="inlineStr">
        <is>
          <t>Miércoles</t>
        </is>
      </c>
      <c r="C89" s="40" t="inlineStr">
        <is>
          <t>Libre</t>
        </is>
      </c>
      <c r="D89" s="49" t="inlineStr">
        <is>
          <t>Instagram</t>
        </is>
      </c>
      <c r="E89" s="31" t="inlineStr">
        <is>
          <t>Publicar o subir una story/post</t>
        </is>
      </c>
      <c r="F89" s="39" t="inlineStr">
        <is>
          <t>Lo que tengas de la experiencia (partidos, estadio, instalaciones, sin menores identificables) o el plan que salga de la sesión del 17/10. Mínimo una story.</t>
        </is>
      </c>
      <c r="G89" s="39" t="inlineStr"/>
      <c r="H89" s="39" t="n">
        <v>15</v>
      </c>
      <c r="I89" s="39" t="inlineStr">
        <is>
          <t>Pendiente</t>
        </is>
      </c>
      <c r="J89" s="39" t="n"/>
    </row>
    <row r="90" ht="163.5" customHeight="1">
      <c r="A90" s="38" t="n">
        <v>46323</v>
      </c>
      <c r="B90" s="39" t="inlineStr">
        <is>
          <t>Miércoles</t>
        </is>
      </c>
      <c r="C90" s="40" t="inlineStr">
        <is>
          <t>20:00</t>
        </is>
      </c>
      <c r="D90" s="43" t="inlineStr">
        <is>
          <t>Team/Coach</t>
        </is>
      </c>
      <c r="E90" s="31" t="inlineStr">
        <is>
          <t>Preparar (y programar si puedes) los envíos del jueves 29/10</t>
        </is>
      </c>
      <c r="F90" s="39" t="inlineStr">
        <is>
          <t>Para cada correo: copia Para, Asunto y Texto de la hoja 'Textos para copiar' (filtra por la fecha 29/10). Revisa en 30 segundos: saludo, nombre del club, firma abajo, sin adjuntos. Programa el envío a la hora indicada si tu correo lo permite (ver LEEME). Si no puedes programar, no pasa nada: mañana a las 07:30 de Nueva York los envías a mano.
• IA Akranes | Follow-up 2 | programar para las 05:30 hora Nueva York (09:30 locales). Texto: fila de la hoja Textos para copiar del 29/10.
• Maidstone United | Follow-up 2 | programar para las 05:30 hora Nueva York (09:30 locales). Texto: fila de la hoja Textos para copiar del 29/10.
• Whitehaven AFC | Follow-up 2 | programar para las 05:30 hora Nueva York (09:30 locales). Texto: fila de la hoja Textos para copiar del 29/10.</t>
        </is>
      </c>
      <c r="G90" s="39" t="inlineStr">
        <is>
          <t>Textos para copiar</t>
        </is>
      </c>
      <c r="H90" s="39" t="n">
        <v>30</v>
      </c>
      <c r="I90" s="39" t="inlineStr">
        <is>
          <t>Pendiente</t>
        </is>
      </c>
      <c r="J90" s="39" t="n"/>
    </row>
    <row r="91" ht="47.5" customHeight="1">
      <c r="A91" s="44" t="n">
        <v>46324</v>
      </c>
      <c r="B91" s="45" t="inlineStr">
        <is>
          <t>Jueves</t>
        </is>
      </c>
      <c r="C91" s="46" t="inlineStr">
        <is>
          <t>05:30</t>
        </is>
      </c>
      <c r="D91" s="47" t="inlineStr">
        <is>
          <t>Team/Coach</t>
        </is>
      </c>
      <c r="E91" s="45" t="inlineStr">
        <is>
          <t>SALE (programado): Follow-up 2 a IA Akranes</t>
        </is>
      </c>
      <c r="F91" s="45" t="inlineStr">
        <is>
          <t>No tienes que hacer nada a esta hora si lo programaste la víspera. Si no pudiste programar, envíalo a mano a las 07:30 de Nueva York. Texto en 'Textos para copiar'.</t>
        </is>
      </c>
      <c r="G91" s="45" t="inlineStr">
        <is>
          <t>Textos para copiar</t>
        </is>
      </c>
      <c r="H91" s="45" t="n"/>
      <c r="I91" s="45" t="inlineStr">
        <is>
          <t>Automático</t>
        </is>
      </c>
      <c r="J91" s="45" t="n"/>
    </row>
    <row r="92" ht="47.5" customHeight="1">
      <c r="A92" s="44" t="n">
        <v>46324</v>
      </c>
      <c r="B92" s="45" t="inlineStr">
        <is>
          <t>Jueves</t>
        </is>
      </c>
      <c r="C92" s="46" t="inlineStr">
        <is>
          <t>05:30</t>
        </is>
      </c>
      <c r="D92" s="47" t="inlineStr">
        <is>
          <t>Team/Coach</t>
        </is>
      </c>
      <c r="E92" s="45" t="inlineStr">
        <is>
          <t>SALE (programado): Follow-up 2 a Maidstone United</t>
        </is>
      </c>
      <c r="F92" s="45" t="inlineStr">
        <is>
          <t>No tienes que hacer nada a esta hora si lo programaste la víspera. Si no pudiste programar, envíalo a mano a las 07:30 de Nueva York. Texto en 'Textos para copiar'.</t>
        </is>
      </c>
      <c r="G92" s="45" t="inlineStr">
        <is>
          <t>Textos para copiar</t>
        </is>
      </c>
      <c r="H92" s="45" t="n"/>
      <c r="I92" s="45" t="inlineStr">
        <is>
          <t>Automático</t>
        </is>
      </c>
      <c r="J92" s="45" t="n"/>
    </row>
    <row r="93" ht="47.5" customHeight="1">
      <c r="A93" s="44" t="n">
        <v>46324</v>
      </c>
      <c r="B93" s="45" t="inlineStr">
        <is>
          <t>Jueves</t>
        </is>
      </c>
      <c r="C93" s="46" t="inlineStr">
        <is>
          <t>05:30</t>
        </is>
      </c>
      <c r="D93" s="47" t="inlineStr">
        <is>
          <t>Team/Coach</t>
        </is>
      </c>
      <c r="E93" s="45" t="inlineStr">
        <is>
          <t>SALE (programado): Follow-up 2 a Whitehaven AFC</t>
        </is>
      </c>
      <c r="F93" s="45" t="inlineStr">
        <is>
          <t>No tienes que hacer nada a esta hora si lo programaste la víspera. Si no pudiste programar, envíalo a mano a las 07:30 de Nueva York. Texto en 'Textos para copiar'.</t>
        </is>
      </c>
      <c r="G93" s="45" t="inlineStr">
        <is>
          <t>Textos para copiar</t>
        </is>
      </c>
      <c r="H93" s="45" t="n"/>
      <c r="I93" s="45" t="inlineStr">
        <is>
          <t>Automático</t>
        </is>
      </c>
      <c r="J93" s="45" t="n"/>
    </row>
    <row r="94" ht="62" customHeight="1">
      <c r="A94" s="38" t="n">
        <v>46324</v>
      </c>
      <c r="B94" s="39" t="inlineStr">
        <is>
          <t>Jueves</t>
        </is>
      </c>
      <c r="C94" s="40" t="inlineStr">
        <is>
          <t>8:00</t>
        </is>
      </c>
      <c r="D94" s="41" t="inlineStr">
        <is>
          <t>Todos</t>
        </is>
      </c>
      <c r="E94" s="31" t="inlineStr">
        <is>
          <t>Revisión diaria: bandeja, Instagram, WhatsApp</t>
        </is>
      </c>
      <c r="F94"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4" s="39" t="inlineStr">
        <is>
          <t>Textos para copiar (final de la hoja)</t>
        </is>
      </c>
      <c r="H94" s="39" t="n">
        <v>15</v>
      </c>
      <c r="I94" s="39" t="inlineStr">
        <is>
          <t>Pendiente</t>
        </is>
      </c>
      <c r="J94" s="39" t="n"/>
    </row>
    <row r="95" ht="47.5" customHeight="1">
      <c r="A95" s="38" t="n">
        <v>46324</v>
      </c>
      <c r="B95" s="39" t="inlineStr">
        <is>
          <t>Jueves</t>
        </is>
      </c>
      <c r="C95" s="40" t="inlineStr">
        <is>
          <t>8:00</t>
        </is>
      </c>
      <c r="D95" s="43" t="inlineStr">
        <is>
          <t>Team/Coach</t>
        </is>
      </c>
      <c r="E95" s="31" t="inlineStr">
        <is>
          <t>Comprobar que salieron los correos de hoy y que no hay rebotes</t>
        </is>
      </c>
      <c r="F95" s="39" t="inlineStr">
        <is>
          <t>Carpeta Enviados: confirma que están. Recibidos: busca avisos de rebote (suelen llegar en minutos). Si uno rebota: apunta cuál en la columna Notas de esta fila y avísame; busco otra dirección del club y te la preparo.</t>
        </is>
      </c>
      <c r="G95" s="39" t="inlineStr">
        <is>
          <t>Enviados / Recibidos</t>
        </is>
      </c>
      <c r="H95" s="39" t="n">
        <v>5</v>
      </c>
      <c r="I95" s="39" t="inlineStr">
        <is>
          <t>Pendiente</t>
        </is>
      </c>
      <c r="J95" s="39" t="n"/>
    </row>
    <row r="96" ht="76.5" customHeight="1">
      <c r="A96" s="38" t="n">
        <v>46324</v>
      </c>
      <c r="B96" s="39" t="inlineStr">
        <is>
          <t>Jueves</t>
        </is>
      </c>
      <c r="C96" s="40" t="inlineStr">
        <is>
          <t>Libre</t>
        </is>
      </c>
      <c r="D96" s="43" t="inlineStr">
        <is>
          <t>Team/Coach</t>
        </is>
      </c>
      <c r="E96" s="31" t="inlineStr">
        <is>
          <t>Opcional: DM a Instagram @holbeachunitedcsa (Holbeach United)</t>
        </is>
      </c>
      <c r="F96"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6" s="39" t="inlineStr">
        <is>
          <t>Textos para copiar</t>
        </is>
      </c>
      <c r="H96" s="39" t="n">
        <v>5</v>
      </c>
      <c r="I96" s="39" t="inlineStr">
        <is>
          <t>Pendiente</t>
        </is>
      </c>
      <c r="J96" s="39" t="n"/>
    </row>
    <row r="97" ht="76.5" customHeight="1">
      <c r="A97" s="38" t="n">
        <v>46324</v>
      </c>
      <c r="B97" s="39" t="inlineStr">
        <is>
          <t>Jueves</t>
        </is>
      </c>
      <c r="C97" s="40" t="inlineStr">
        <is>
          <t>Libre</t>
        </is>
      </c>
      <c r="D97" s="43" t="inlineStr">
        <is>
          <t>Team/Coach</t>
        </is>
      </c>
      <c r="E97" s="31" t="inlineStr">
        <is>
          <t>Opcional: DM a Facebook o Instagram de Søreide IL (Søreide IL)</t>
        </is>
      </c>
      <c r="F97"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7" s="39" t="inlineStr">
        <is>
          <t>Textos para copiar</t>
        </is>
      </c>
      <c r="H97" s="39" t="n">
        <v>5</v>
      </c>
      <c r="I97" s="39" t="inlineStr">
        <is>
          <t>Pendiente</t>
        </is>
      </c>
      <c r="J97" s="39" t="n"/>
    </row>
    <row r="98" ht="62" customHeight="1">
      <c r="A98" s="38" t="n">
        <v>46325</v>
      </c>
      <c r="B98" s="39" t="inlineStr">
        <is>
          <t>Viernes</t>
        </is>
      </c>
      <c r="C98" s="40" t="inlineStr">
        <is>
          <t>8:00</t>
        </is>
      </c>
      <c r="D98" s="41" t="inlineStr">
        <is>
          <t>Todos</t>
        </is>
      </c>
      <c r="E98" s="31" t="inlineStr">
        <is>
          <t>Revisión diaria: bandeja, Instagram, WhatsApp</t>
        </is>
      </c>
      <c r="F98"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8" s="39" t="inlineStr">
        <is>
          <t>Textos para copiar (final de la hoja)</t>
        </is>
      </c>
      <c r="H98" s="39" t="n">
        <v>15</v>
      </c>
      <c r="I98" s="39" t="inlineStr">
        <is>
          <t>Pendiente</t>
        </is>
      </c>
      <c r="J98" s="39" t="n"/>
    </row>
    <row r="99" ht="76.5" customHeight="1">
      <c r="A99" s="38" t="n">
        <v>46325</v>
      </c>
      <c r="B99" s="39" t="inlineStr">
        <is>
          <t>Viernes</t>
        </is>
      </c>
      <c r="C99" s="40" t="inlineStr">
        <is>
          <t>Libre</t>
        </is>
      </c>
      <c r="D99" s="43" t="inlineStr">
        <is>
          <t>Team/Coach</t>
        </is>
      </c>
      <c r="E99" s="31" t="inlineStr">
        <is>
          <t>Opcional: DM a Facebook o Instagram de ÍA Akranes (IA Akranes)</t>
        </is>
      </c>
      <c r="F99"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9" s="39" t="inlineStr">
        <is>
          <t>Textos para copiar</t>
        </is>
      </c>
      <c r="H99" s="39" t="n">
        <v>5</v>
      </c>
      <c r="I99" s="39" t="inlineStr">
        <is>
          <t>Pendiente</t>
        </is>
      </c>
      <c r="J99" s="39" t="n"/>
    </row>
    <row r="100" ht="76.5" customHeight="1">
      <c r="A100" s="38" t="n">
        <v>46325</v>
      </c>
      <c r="B100" s="39" t="inlineStr">
        <is>
          <t>Viernes</t>
        </is>
      </c>
      <c r="C100" s="40" t="inlineStr">
        <is>
          <t>Libre</t>
        </is>
      </c>
      <c r="D100" s="43" t="inlineStr">
        <is>
          <t>Team/Coach</t>
        </is>
      </c>
      <c r="E100" s="31" t="inlineStr">
        <is>
          <t>Opcional: DM a Facebook o Instagram de Maidstone United (Maidstone United)</t>
        </is>
      </c>
      <c r="F100"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00" s="39" t="inlineStr">
        <is>
          <t>Textos para copiar</t>
        </is>
      </c>
      <c r="H100" s="39" t="n">
        <v>5</v>
      </c>
      <c r="I100" s="39" t="inlineStr">
        <is>
          <t>Pendiente</t>
        </is>
      </c>
      <c r="J100" s="39" t="n"/>
    </row>
    <row r="101" ht="76.5" customHeight="1">
      <c r="A101" s="38" t="n">
        <v>46325</v>
      </c>
      <c r="B101" s="39" t="inlineStr">
        <is>
          <t>Viernes</t>
        </is>
      </c>
      <c r="C101" s="40" t="inlineStr">
        <is>
          <t>Libre</t>
        </is>
      </c>
      <c r="D101" s="43" t="inlineStr">
        <is>
          <t>Team/Coach</t>
        </is>
      </c>
      <c r="E101" s="31" t="inlineStr">
        <is>
          <t>Opcional: DM a Facebook de Whitehaven AFC (plan B si el email rebota) (Whitehaven AFC)</t>
        </is>
      </c>
      <c r="F101"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01" s="39" t="inlineStr">
        <is>
          <t>Textos para copiar</t>
        </is>
      </c>
      <c r="H101" s="39" t="n">
        <v>5</v>
      </c>
      <c r="I101" s="39" t="inlineStr">
        <is>
          <t>Pendiente</t>
        </is>
      </c>
      <c r="J101" s="39" t="n"/>
    </row>
    <row r="102" ht="33" customHeight="1">
      <c r="A102" s="38" t="n">
        <v>46325</v>
      </c>
      <c r="B102" s="39" t="inlineStr">
        <is>
          <t>Viernes</t>
        </is>
      </c>
      <c r="C102" s="40" t="inlineStr">
        <is>
          <t>Libre</t>
        </is>
      </c>
      <c r="D102" s="49" t="inlineStr">
        <is>
          <t>Instagram</t>
        </is>
      </c>
      <c r="E102" s="31" t="inlineStr">
        <is>
          <t>Publicar o subir una story/post</t>
        </is>
      </c>
      <c r="F102" s="39" t="inlineStr">
        <is>
          <t>Lo que tengas de la experiencia (partidos, estadio, instalaciones, sin menores identificables) o el plan que salga de la sesión del 17/10. Mínimo una story.</t>
        </is>
      </c>
      <c r="G102" s="39" t="inlineStr"/>
      <c r="H102" s="39" t="n">
        <v>15</v>
      </c>
      <c r="I102" s="39" t="inlineStr">
        <is>
          <t>Pendiente</t>
        </is>
      </c>
      <c r="J102" s="39" t="n"/>
    </row>
    <row r="103" ht="33" customHeight="1">
      <c r="A103" s="38" t="n">
        <v>46325</v>
      </c>
      <c r="B103" s="39" t="inlineStr">
        <is>
          <t>Viernes</t>
        </is>
      </c>
      <c r="C103" s="40" t="inlineStr">
        <is>
          <t>Libre</t>
        </is>
      </c>
      <c r="D103" s="41" t="inlineStr">
        <is>
          <t>Todos</t>
        </is>
      </c>
      <c r="E103" s="31" t="inlineStr">
        <is>
          <t>Actualizar el CRM con lo que ha pasado esta semana</t>
        </is>
      </c>
      <c r="F103" s="39" t="inlineStr">
        <is>
          <t>Estado y fecha de último contacto de cada club o lead. Así la hoja Hoy cuenta bien.</t>
        </is>
      </c>
      <c r="G103" s="39" t="inlineStr">
        <is>
          <t>Segmento A, B, C</t>
        </is>
      </c>
      <c r="H103" s="39" t="n">
        <v>15</v>
      </c>
      <c r="I103" s="39" t="inlineStr">
        <is>
          <t>Pendiente</t>
        </is>
      </c>
      <c r="J103" s="39" t="n"/>
    </row>
    <row r="104" ht="22" customHeight="1">
      <c r="A104" s="37" t="inlineStr">
        <is>
          <t>SEMANA  02/11 a 08/11</t>
        </is>
      </c>
    </row>
    <row r="105" ht="62" customHeight="1">
      <c r="A105" s="38" t="n">
        <v>46328</v>
      </c>
      <c r="B105" s="39" t="inlineStr">
        <is>
          <t>Lunes</t>
        </is>
      </c>
      <c r="C105" s="40" t="inlineStr">
        <is>
          <t>8:00</t>
        </is>
      </c>
      <c r="D105" s="41" t="inlineStr">
        <is>
          <t>Todos</t>
        </is>
      </c>
      <c r="E105" s="31" t="inlineStr">
        <is>
          <t>Revisión diaria: bandeja, Instagram, WhatsApp</t>
        </is>
      </c>
      <c r="F105"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5" s="39" t="inlineStr">
        <is>
          <t>Textos para copiar (final de la hoja)</t>
        </is>
      </c>
      <c r="H105" s="39" t="n">
        <v>15</v>
      </c>
      <c r="I105" s="39" t="inlineStr">
        <is>
          <t>Pendiente</t>
        </is>
      </c>
      <c r="J105" s="39" t="n"/>
    </row>
    <row r="106" ht="33" customHeight="1">
      <c r="A106" s="38" t="n">
        <v>46328</v>
      </c>
      <c r="B106" s="39" t="inlineStr">
        <is>
          <t>Lunes</t>
        </is>
      </c>
      <c r="C106" s="40" t="inlineStr">
        <is>
          <t>Libre</t>
        </is>
      </c>
      <c r="D106" s="43" t="inlineStr">
        <is>
          <t>Team/Coach</t>
        </is>
      </c>
      <c r="E106" s="31" t="inlineStr">
        <is>
          <t>Pedirme: «investiga 10 clubes más» para la siguiente tanda</t>
        </is>
      </c>
      <c r="F106" s="39" t="inlineStr">
        <is>
          <t>Escríbeme esa frase. Yo verifico decisor y email en la web del club y te dejo los correos listos en esta hoja antes del jueves.</t>
        </is>
      </c>
      <c r="G106" s="39" t="inlineStr">
        <is>
          <t>Chat con Claude</t>
        </is>
      </c>
      <c r="H106" s="39" t="n">
        <v>5</v>
      </c>
      <c r="I106" s="39" t="inlineStr">
        <is>
          <t>Pendiente</t>
        </is>
      </c>
      <c r="J106" s="39" t="n"/>
    </row>
    <row r="107" ht="33" customHeight="1">
      <c r="A107" s="38" t="n">
        <v>46328</v>
      </c>
      <c r="B107" s="39" t="inlineStr">
        <is>
          <t>Lunes</t>
        </is>
      </c>
      <c r="C107" s="40" t="inlineStr">
        <is>
          <t>Libre</t>
        </is>
      </c>
      <c r="D107" s="42" t="inlineStr">
        <is>
          <t>Becas</t>
        </is>
      </c>
      <c r="E107" s="31" t="inlineStr">
        <is>
          <t>Revisar leads de becas con acción vencida</t>
        </is>
      </c>
      <c r="F107" s="39" t="inlineStr">
        <is>
          <t>Pestaña Segmento C - Becas: ordena por 'Próxima acción'. Contesta o actualiza todo lo atrasado. Aplica las 4 preguntas de cualificación.</t>
        </is>
      </c>
      <c r="G107" s="39" t="inlineStr">
        <is>
          <t>Segmento C - Becas</t>
        </is>
      </c>
      <c r="H107" s="39" t="n">
        <v>20</v>
      </c>
      <c r="I107" s="39" t="inlineStr">
        <is>
          <t>Pendiente</t>
        </is>
      </c>
      <c r="J107" s="39" t="n"/>
    </row>
    <row r="108" ht="33" customHeight="1">
      <c r="A108" s="38" t="n">
        <v>46328</v>
      </c>
      <c r="B108" s="39" t="inlineStr">
        <is>
          <t>Lunes</t>
        </is>
      </c>
      <c r="C108" s="40" t="inlineStr">
        <is>
          <t>Libre</t>
        </is>
      </c>
      <c r="D108" s="49" t="inlineStr">
        <is>
          <t>Instagram</t>
        </is>
      </c>
      <c r="E108" s="31" t="inlineStr">
        <is>
          <t>Publicar o subir una story/post</t>
        </is>
      </c>
      <c r="F108" s="39" t="inlineStr">
        <is>
          <t>Lo que tengas de la experiencia (partidos, estadio, instalaciones, sin menores identificables) o el plan que salga de la sesión del 17/10. Mínimo una story.</t>
        </is>
      </c>
      <c r="G108" s="39" t="inlineStr"/>
      <c r="H108" s="39" t="n">
        <v>15</v>
      </c>
      <c r="I108" s="39" t="inlineStr">
        <is>
          <t>Pendiente</t>
        </is>
      </c>
      <c r="J108" s="39" t="n"/>
    </row>
    <row r="109" ht="192.5" customHeight="1">
      <c r="A109" s="38" t="n">
        <v>46328</v>
      </c>
      <c r="B109" s="39" t="inlineStr">
        <is>
          <t>Lunes</t>
        </is>
      </c>
      <c r="C109" s="40" t="inlineStr">
        <is>
          <t>20:00</t>
        </is>
      </c>
      <c r="D109" s="43" t="inlineStr">
        <is>
          <t>Team/Coach</t>
        </is>
      </c>
      <c r="E109" s="31" t="inlineStr">
        <is>
          <t>Preparar (y programar si puedes) los envíos del martes 03/11</t>
        </is>
      </c>
      <c r="F109" s="39" t="inlineStr">
        <is>
          <t>Para cada correo: copia Para, Asunto y Texto de la hoja 'Textos para copiar' (filtra por la fecha 03/11). Revisa en 30 segundos: saludo, nombre del club, firma abajo, sin adjuntos. Programa el envío a la hora indicada si tu correo lo permite (ver LEEME). Si no puedes programar, no pasa nada: mañana a las 07:30 de Nueva York los envías a mano.
• FC Porte d'Aquitaine | Follow-up 2 | programar para las 03:30 hora Nueva York (09:30 locales). Texto: fila de la hoja Textos para copiar del 03/11.
• Hastings United | Cierre | programar para las 04:30 hora Nueva York (09:30 locales). Texto: fila de la hoja Textos para copiar del 03/11.
• Home Farm FC | Cierre | programar para las 04:30 hora Nueva York (09:30 locales). Texto: fila de la hoja Textos para copiar del 03/11.
• Virtu Academy | Follow-up 2 | programar para las 04:30 hora Nueva York (09:30 locales). Texto: fila de la hoja Textos para copiar del 03/11.</t>
        </is>
      </c>
      <c r="G109" s="39" t="inlineStr">
        <is>
          <t>Textos para copiar</t>
        </is>
      </c>
      <c r="H109" s="39" t="n">
        <v>35</v>
      </c>
      <c r="I109" s="39" t="inlineStr">
        <is>
          <t>Pendiente</t>
        </is>
      </c>
      <c r="J109" s="39" t="n"/>
    </row>
    <row r="110" ht="47.5" customHeight="1">
      <c r="A110" s="44" t="n">
        <v>46329</v>
      </c>
      <c r="B110" s="45" t="inlineStr">
        <is>
          <t>Martes</t>
        </is>
      </c>
      <c r="C110" s="46" t="inlineStr">
        <is>
          <t>03:30</t>
        </is>
      </c>
      <c r="D110" s="47" t="inlineStr">
        <is>
          <t>Team/Coach</t>
        </is>
      </c>
      <c r="E110" s="45" t="inlineStr">
        <is>
          <t>SALE (programado): Follow-up 2 a FC Porte d'Aquitaine</t>
        </is>
      </c>
      <c r="F110" s="45" t="inlineStr">
        <is>
          <t>No tienes que hacer nada a esta hora si lo programaste la víspera. Si no pudiste programar, envíalo a mano a las 07:30 de Nueva York. Texto en 'Textos para copiar'.</t>
        </is>
      </c>
      <c r="G110" s="45" t="inlineStr">
        <is>
          <t>Textos para copiar</t>
        </is>
      </c>
      <c r="H110" s="45" t="n"/>
      <c r="I110" s="45" t="inlineStr">
        <is>
          <t>Automático</t>
        </is>
      </c>
      <c r="J110" s="45" t="n"/>
    </row>
    <row r="111" ht="47.5" customHeight="1">
      <c r="A111" s="44" t="n">
        <v>46329</v>
      </c>
      <c r="B111" s="45" t="inlineStr">
        <is>
          <t>Martes</t>
        </is>
      </c>
      <c r="C111" s="46" t="inlineStr">
        <is>
          <t>04:30</t>
        </is>
      </c>
      <c r="D111" s="47" t="inlineStr">
        <is>
          <t>Team/Coach</t>
        </is>
      </c>
      <c r="E111" s="45" t="inlineStr">
        <is>
          <t>SALE (programado): Cierre a Hastings United</t>
        </is>
      </c>
      <c r="F111" s="45" t="inlineStr">
        <is>
          <t>No tienes que hacer nada a esta hora si lo programaste la víspera. Si no pudiste programar, envíalo a mano a las 07:30 de Nueva York. Texto en 'Textos para copiar'.</t>
        </is>
      </c>
      <c r="G111" s="45" t="inlineStr">
        <is>
          <t>Textos para copiar</t>
        </is>
      </c>
      <c r="H111" s="45" t="n"/>
      <c r="I111" s="45" t="inlineStr">
        <is>
          <t>Automático</t>
        </is>
      </c>
      <c r="J111" s="45" t="n"/>
    </row>
    <row r="112" ht="47.5" customHeight="1">
      <c r="A112" s="44" t="n">
        <v>46329</v>
      </c>
      <c r="B112" s="45" t="inlineStr">
        <is>
          <t>Martes</t>
        </is>
      </c>
      <c r="C112" s="46" t="inlineStr">
        <is>
          <t>04:30</t>
        </is>
      </c>
      <c r="D112" s="47" t="inlineStr">
        <is>
          <t>Team/Coach</t>
        </is>
      </c>
      <c r="E112" s="45" t="inlineStr">
        <is>
          <t>SALE (programado): Cierre a Home Farm FC</t>
        </is>
      </c>
      <c r="F112" s="45" t="inlineStr">
        <is>
          <t>No tienes que hacer nada a esta hora si lo programaste la víspera. Si no pudiste programar, envíalo a mano a las 07:30 de Nueva York. Texto en 'Textos para copiar'.</t>
        </is>
      </c>
      <c r="G112" s="45" t="inlineStr">
        <is>
          <t>Textos para copiar</t>
        </is>
      </c>
      <c r="H112" s="45" t="n"/>
      <c r="I112" s="45" t="inlineStr">
        <is>
          <t>Automático</t>
        </is>
      </c>
      <c r="J112" s="45" t="n"/>
    </row>
    <row r="113" ht="47.5" customHeight="1">
      <c r="A113" s="44" t="n">
        <v>46329</v>
      </c>
      <c r="B113" s="45" t="inlineStr">
        <is>
          <t>Martes</t>
        </is>
      </c>
      <c r="C113" s="46" t="inlineStr">
        <is>
          <t>04:30</t>
        </is>
      </c>
      <c r="D113" s="47" t="inlineStr">
        <is>
          <t>Team/Coach</t>
        </is>
      </c>
      <c r="E113" s="45" t="inlineStr">
        <is>
          <t>SALE (programado): Follow-up 2 a Virtu Academy</t>
        </is>
      </c>
      <c r="F113" s="45" t="inlineStr">
        <is>
          <t>No tienes que hacer nada a esta hora si lo programaste la víspera. Si no pudiste programar, envíalo a mano a las 07:30 de Nueva York. Texto en 'Textos para copiar'.</t>
        </is>
      </c>
      <c r="G113" s="45" t="inlineStr">
        <is>
          <t>Textos para copiar</t>
        </is>
      </c>
      <c r="H113" s="45" t="n"/>
      <c r="I113" s="45" t="inlineStr">
        <is>
          <t>Automático</t>
        </is>
      </c>
      <c r="J113" s="45" t="n"/>
    </row>
    <row r="114" ht="62" customHeight="1">
      <c r="A114" s="38" t="n">
        <v>46329</v>
      </c>
      <c r="B114" s="39" t="inlineStr">
        <is>
          <t>Martes</t>
        </is>
      </c>
      <c r="C114" s="40" t="inlineStr">
        <is>
          <t>8:00</t>
        </is>
      </c>
      <c r="D114" s="41" t="inlineStr">
        <is>
          <t>Todos</t>
        </is>
      </c>
      <c r="E114" s="31" t="inlineStr">
        <is>
          <t>Revisión diaria: bandeja, Instagram, WhatsApp</t>
        </is>
      </c>
      <c r="F114"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4" s="39" t="inlineStr">
        <is>
          <t>Textos para copiar (final de la hoja)</t>
        </is>
      </c>
      <c r="H114" s="39" t="n">
        <v>15</v>
      </c>
      <c r="I114" s="39" t="inlineStr">
        <is>
          <t>Pendiente</t>
        </is>
      </c>
      <c r="J114" s="39" t="n"/>
    </row>
    <row r="115" ht="47.5" customHeight="1">
      <c r="A115" s="38" t="n">
        <v>46329</v>
      </c>
      <c r="B115" s="39" t="inlineStr">
        <is>
          <t>Martes</t>
        </is>
      </c>
      <c r="C115" s="40" t="inlineStr">
        <is>
          <t>8:00</t>
        </is>
      </c>
      <c r="D115" s="43" t="inlineStr">
        <is>
          <t>Team/Coach</t>
        </is>
      </c>
      <c r="E115" s="31" t="inlineStr">
        <is>
          <t>Comprobar que salieron los correos de hoy y que no hay rebotes</t>
        </is>
      </c>
      <c r="F115" s="39" t="inlineStr">
        <is>
          <t>Carpeta Enviados: confirma que están. Recibidos: busca avisos de rebote (suelen llegar en minutos). Si uno rebota: apunta cuál en la columna Notas de esta fila y avísame; busco otra dirección del club y te la preparo.</t>
        </is>
      </c>
      <c r="G115" s="39" t="inlineStr">
        <is>
          <t>Enviados / Recibidos</t>
        </is>
      </c>
      <c r="H115" s="39" t="n">
        <v>5</v>
      </c>
      <c r="I115" s="39" t="inlineStr">
        <is>
          <t>Pendiente</t>
        </is>
      </c>
      <c r="J115" s="39" t="n"/>
    </row>
    <row r="116" ht="30" customHeight="1">
      <c r="A116" s="38" t="n">
        <v>46329</v>
      </c>
      <c r="B116" s="39" t="inlineStr">
        <is>
          <t>Martes</t>
        </is>
      </c>
      <c r="C116" s="40" t="inlineStr">
        <is>
          <t>Libre</t>
        </is>
      </c>
      <c r="D116" s="43" t="inlineStr">
        <is>
          <t>Team/Coach</t>
        </is>
      </c>
      <c r="E116" s="31" t="inlineStr">
        <is>
          <t>Enviar la tanda 4 de emails</t>
        </is>
      </c>
      <c r="F116" s="39" t="inlineStr">
        <is>
          <t>Mismo proceso. Los textos estarán en la hoja tras tu petición del 26/10.</t>
        </is>
      </c>
      <c r="G116" s="39" t="inlineStr">
        <is>
          <t>Textos para copiar</t>
        </is>
      </c>
      <c r="H116" s="39" t="n">
        <v>20</v>
      </c>
      <c r="I116" s="39" t="inlineStr">
        <is>
          <t>Pendiente</t>
        </is>
      </c>
      <c r="J116" s="39" t="n"/>
    </row>
    <row r="117" ht="134.5" customHeight="1">
      <c r="A117" s="38" t="n">
        <v>46329</v>
      </c>
      <c r="B117" s="39" t="inlineStr">
        <is>
          <t>Martes</t>
        </is>
      </c>
      <c r="C117" s="40" t="inlineStr">
        <is>
          <t>20:00</t>
        </is>
      </c>
      <c r="D117" s="43" t="inlineStr">
        <is>
          <t>Team/Coach</t>
        </is>
      </c>
      <c r="E117" s="31" t="inlineStr">
        <is>
          <t>Preparar (y programar si puedes) los envíos del miércoles 04/11</t>
        </is>
      </c>
      <c r="F117" s="39" t="inlineStr">
        <is>
          <t>Para cada correo: copia Para, Asunto y Texto de la hoja 'Textos para copiar' (filtra por la fecha 04/11). Revisa en 30 segundos: saludo, nombre del club, firma abajo, sin adjuntos. Programa el envío a la hora indicada si tu correo lo permite (ver LEEME). Si no puedes programar, no pasa nada: mañana a las 07:30 de Nueva York los envías a mano.
• Holbeach United | Cierre | programar para las 04:30 hora Nueva York (09:30 locales). Texto: fila de la hoja Textos para copiar del 04/11.
• Søreide IL | Cierre | programar para las 03:30 hora Nueva York (09:30 locales). Texto: fila de la hoja Textos para copiar del 04/11.</t>
        </is>
      </c>
      <c r="G117" s="39" t="inlineStr">
        <is>
          <t>Textos para copiar</t>
        </is>
      </c>
      <c r="H117" s="39" t="n">
        <v>25</v>
      </c>
      <c r="I117" s="39" t="inlineStr">
        <is>
          <t>Pendiente</t>
        </is>
      </c>
      <c r="J117" s="39" t="n"/>
    </row>
    <row r="118" ht="47.5" customHeight="1">
      <c r="A118" s="44" t="n">
        <v>46330</v>
      </c>
      <c r="B118" s="45" t="inlineStr">
        <is>
          <t>Miércoles</t>
        </is>
      </c>
      <c r="C118" s="46" t="inlineStr">
        <is>
          <t>03:30</t>
        </is>
      </c>
      <c r="D118" s="47" t="inlineStr">
        <is>
          <t>Team/Coach</t>
        </is>
      </c>
      <c r="E118" s="45" t="inlineStr">
        <is>
          <t>SALE (programado): Cierre a Søreide IL</t>
        </is>
      </c>
      <c r="F118" s="45" t="inlineStr">
        <is>
          <t>No tienes que hacer nada a esta hora si lo programaste la víspera. Si no pudiste programar, envíalo a mano a las 07:30 de Nueva York. Texto en 'Textos para copiar'.</t>
        </is>
      </c>
      <c r="G118" s="45" t="inlineStr">
        <is>
          <t>Textos para copiar</t>
        </is>
      </c>
      <c r="H118" s="45" t="n"/>
      <c r="I118" s="45" t="inlineStr">
        <is>
          <t>Automático</t>
        </is>
      </c>
      <c r="J118" s="45" t="n"/>
    </row>
    <row r="119" ht="47.5" customHeight="1">
      <c r="A119" s="44" t="n">
        <v>46330</v>
      </c>
      <c r="B119" s="45" t="inlineStr">
        <is>
          <t>Miércoles</t>
        </is>
      </c>
      <c r="C119" s="46" t="inlineStr">
        <is>
          <t>04:30</t>
        </is>
      </c>
      <c r="D119" s="47" t="inlineStr">
        <is>
          <t>Team/Coach</t>
        </is>
      </c>
      <c r="E119" s="45" t="inlineStr">
        <is>
          <t>SALE (programado): Cierre a Holbeach United</t>
        </is>
      </c>
      <c r="F119" s="45" t="inlineStr">
        <is>
          <t>No tienes que hacer nada a esta hora si lo programaste la víspera. Si no pudiste programar, envíalo a mano a las 07:30 de Nueva York. Texto en 'Textos para copiar'.</t>
        </is>
      </c>
      <c r="G119" s="45" t="inlineStr">
        <is>
          <t>Textos para copiar</t>
        </is>
      </c>
      <c r="H119" s="45" t="n"/>
      <c r="I119" s="45" t="inlineStr">
        <is>
          <t>Automático</t>
        </is>
      </c>
      <c r="J119" s="45" t="n"/>
    </row>
    <row r="120" ht="62" customHeight="1">
      <c r="A120" s="38" t="n">
        <v>46330</v>
      </c>
      <c r="B120" s="39" t="inlineStr">
        <is>
          <t>Miércoles</t>
        </is>
      </c>
      <c r="C120" s="40" t="inlineStr">
        <is>
          <t>8:00</t>
        </is>
      </c>
      <c r="D120" s="41" t="inlineStr">
        <is>
          <t>Todos</t>
        </is>
      </c>
      <c r="E120" s="31" t="inlineStr">
        <is>
          <t>Revisión diaria: bandeja, Instagram, WhatsApp</t>
        </is>
      </c>
      <c r="F120"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0" s="39" t="inlineStr">
        <is>
          <t>Textos para copiar (final de la hoja)</t>
        </is>
      </c>
      <c r="H120" s="39" t="n">
        <v>15</v>
      </c>
      <c r="I120" s="39" t="inlineStr">
        <is>
          <t>Pendiente</t>
        </is>
      </c>
      <c r="J120" s="39" t="n"/>
    </row>
    <row r="121" ht="47.5" customHeight="1">
      <c r="A121" s="38" t="n">
        <v>46330</v>
      </c>
      <c r="B121" s="39" t="inlineStr">
        <is>
          <t>Miércoles</t>
        </is>
      </c>
      <c r="C121" s="40" t="inlineStr">
        <is>
          <t>8:00</t>
        </is>
      </c>
      <c r="D121" s="43" t="inlineStr">
        <is>
          <t>Team/Coach</t>
        </is>
      </c>
      <c r="E121" s="31" t="inlineStr">
        <is>
          <t>Comprobar que salieron los correos de hoy y que no hay rebotes</t>
        </is>
      </c>
      <c r="F121" s="39" t="inlineStr">
        <is>
          <t>Carpeta Enviados: confirma que están. Recibidos: busca avisos de rebote (suelen llegar en minutos). Si uno rebota: apunta cuál en la columna Notas de esta fila y avísame; busco otra dirección del club y te la preparo.</t>
        </is>
      </c>
      <c r="G121" s="39" t="inlineStr">
        <is>
          <t>Enviados / Recibidos</t>
        </is>
      </c>
      <c r="H121" s="39" t="n">
        <v>5</v>
      </c>
      <c r="I121" s="39" t="inlineStr">
        <is>
          <t>Pendiente</t>
        </is>
      </c>
      <c r="J121" s="39" t="n"/>
    </row>
    <row r="122" ht="91" customHeight="1">
      <c r="A122" s="38" t="n">
        <v>46330</v>
      </c>
      <c r="B122" s="39" t="inlineStr">
        <is>
          <t>Miércoles</t>
        </is>
      </c>
      <c r="C122" s="40" t="inlineStr">
        <is>
          <t>Libre</t>
        </is>
      </c>
      <c r="D122" s="43" t="inlineStr">
        <is>
          <t>Team/Coach</t>
        </is>
      </c>
      <c r="E122" s="31" t="inlineStr">
        <is>
          <t>Opcional: DM a Facebook du FC Porte d'Aquitaine (FC Porte d'Aquitaine)</t>
        </is>
      </c>
      <c r="F122" s="39" t="inlineStr">
        <is>
          <t>Solo si el club no ha respondido a nada. A mano desde la cuenta de la red indicada. Solo si no ha contestado al follow-up 2. Sin enlaces. Texto: «Bonjour ! Je suis Joel d'Always Up. Nous emmenons des équipes de jeunes en Espagne pour des semaines d'entraînement (Atlético de Madrid, Real Sociedad). J'ai écrit au club récemment. Qui serait la bonne personne pour parler des déplacements des équipes de jeunes ?»</t>
        </is>
      </c>
      <c r="G122" s="39" t="inlineStr">
        <is>
          <t>Textos para copiar</t>
        </is>
      </c>
      <c r="H122" s="39" t="n">
        <v>5</v>
      </c>
      <c r="I122" s="39" t="inlineStr">
        <is>
          <t>Pendiente</t>
        </is>
      </c>
      <c r="J122" s="39" t="n"/>
    </row>
    <row r="123" ht="76.5" customHeight="1">
      <c r="A123" s="38" t="n">
        <v>46330</v>
      </c>
      <c r="B123" s="39" t="inlineStr">
        <is>
          <t>Miércoles</t>
        </is>
      </c>
      <c r="C123" s="40" t="inlineStr">
        <is>
          <t>Libre</t>
        </is>
      </c>
      <c r="D123" s="43" t="inlineStr">
        <is>
          <t>Team/Coach</t>
        </is>
      </c>
      <c r="E123" s="31" t="inlineStr">
        <is>
          <t>Opcional: DM a Instagram de Virtu Academy (Virtu Academy)</t>
        </is>
      </c>
      <c r="F123"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23" s="39" t="inlineStr">
        <is>
          <t>Textos para copiar</t>
        </is>
      </c>
      <c r="H123" s="39" t="n">
        <v>5</v>
      </c>
      <c r="I123" s="39" t="inlineStr">
        <is>
          <t>Pendiente</t>
        </is>
      </c>
      <c r="J123" s="39" t="n"/>
    </row>
    <row r="124" ht="33" customHeight="1">
      <c r="A124" s="38" t="n">
        <v>46330</v>
      </c>
      <c r="B124" s="39" t="inlineStr">
        <is>
          <t>Miércoles</t>
        </is>
      </c>
      <c r="C124" s="40" t="inlineStr">
        <is>
          <t>Libre</t>
        </is>
      </c>
      <c r="D124" s="49" t="inlineStr">
        <is>
          <t>Instagram</t>
        </is>
      </c>
      <c r="E124" s="31" t="inlineStr">
        <is>
          <t>Publicar o subir una story/post</t>
        </is>
      </c>
      <c r="F124" s="39" t="inlineStr">
        <is>
          <t>Lo que tengas de la experiencia (partidos, estadio, instalaciones, sin menores identificables) o el plan que salga de la sesión del 17/10. Mínimo una story.</t>
        </is>
      </c>
      <c r="G124" s="39" t="inlineStr"/>
      <c r="H124" s="39" t="n">
        <v>15</v>
      </c>
      <c r="I124" s="39" t="inlineStr">
        <is>
          <t>Pendiente</t>
        </is>
      </c>
      <c r="J124" s="39" t="n"/>
    </row>
    <row r="125" ht="163.5" customHeight="1">
      <c r="A125" s="38" t="n">
        <v>46330</v>
      </c>
      <c r="B125" s="39" t="inlineStr">
        <is>
          <t>Miércoles</t>
        </is>
      </c>
      <c r="C125" s="40" t="inlineStr">
        <is>
          <t>20:00</t>
        </is>
      </c>
      <c r="D125" s="43" t="inlineStr">
        <is>
          <t>Team/Coach</t>
        </is>
      </c>
      <c r="E125" s="31" t="inlineStr">
        <is>
          <t>Preparar (y programar si puedes) los envíos del jueves 05/11</t>
        </is>
      </c>
      <c r="F125" s="39" t="inlineStr">
        <is>
          <t>Para cada correo: copia Para, Asunto y Texto de la hoja 'Textos para copiar' (filtra por la fecha 05/11). Revisa en 30 segundos: saludo, nombre del club, firma abajo, sin adjuntos. Programa el envío a la hora indicada si tu correo lo permite (ver LEEME). Si no puedes programar, no pasa nada: mañana a las 07:30 de Nueva York los envías a mano.
• IA Akranes | Cierre | programar para las 04:30 hora Nueva York (09:30 locales). Texto: fila de la hoja Textos para copiar del 05/11.
• Maidstone United | Cierre | programar para las 04:30 hora Nueva York (09:30 locales). Texto: fila de la hoja Textos para copiar del 05/11.
• Whitehaven AFC | Cierre | programar para las 04:30 hora Nueva York (09:30 locales). Texto: fila de la hoja Textos para copiar del 05/11.</t>
        </is>
      </c>
      <c r="G125" s="39" t="inlineStr">
        <is>
          <t>Textos para copiar</t>
        </is>
      </c>
      <c r="H125" s="39" t="n">
        <v>30</v>
      </c>
      <c r="I125" s="39" t="inlineStr">
        <is>
          <t>Pendiente</t>
        </is>
      </c>
      <c r="J125" s="39" t="n"/>
    </row>
    <row r="126" ht="47.5" customHeight="1">
      <c r="A126" s="44" t="n">
        <v>46331</v>
      </c>
      <c r="B126" s="45" t="inlineStr">
        <is>
          <t>Jueves</t>
        </is>
      </c>
      <c r="C126" s="46" t="inlineStr">
        <is>
          <t>04:30</t>
        </is>
      </c>
      <c r="D126" s="47" t="inlineStr">
        <is>
          <t>Team/Coach</t>
        </is>
      </c>
      <c r="E126" s="45" t="inlineStr">
        <is>
          <t>SALE (programado): Cierre a IA Akranes</t>
        </is>
      </c>
      <c r="F126" s="45" t="inlineStr">
        <is>
          <t>No tienes que hacer nada a esta hora si lo programaste la víspera. Si no pudiste programar, envíalo a mano a las 07:30 de Nueva York. Texto en 'Textos para copiar'.</t>
        </is>
      </c>
      <c r="G126" s="45" t="inlineStr">
        <is>
          <t>Textos para copiar</t>
        </is>
      </c>
      <c r="H126" s="45" t="n"/>
      <c r="I126" s="45" t="inlineStr">
        <is>
          <t>Automático</t>
        </is>
      </c>
      <c r="J126" s="45" t="n"/>
    </row>
    <row r="127" ht="47.5" customHeight="1">
      <c r="A127" s="44" t="n">
        <v>46331</v>
      </c>
      <c r="B127" s="45" t="inlineStr">
        <is>
          <t>Jueves</t>
        </is>
      </c>
      <c r="C127" s="46" t="inlineStr">
        <is>
          <t>04:30</t>
        </is>
      </c>
      <c r="D127" s="47" t="inlineStr">
        <is>
          <t>Team/Coach</t>
        </is>
      </c>
      <c r="E127" s="45" t="inlineStr">
        <is>
          <t>SALE (programado): Cierre a Maidstone United</t>
        </is>
      </c>
      <c r="F127" s="45" t="inlineStr">
        <is>
          <t>No tienes que hacer nada a esta hora si lo programaste la víspera. Si no pudiste programar, envíalo a mano a las 07:30 de Nueva York. Texto en 'Textos para copiar'.</t>
        </is>
      </c>
      <c r="G127" s="45" t="inlineStr">
        <is>
          <t>Textos para copiar</t>
        </is>
      </c>
      <c r="H127" s="45" t="n"/>
      <c r="I127" s="45" t="inlineStr">
        <is>
          <t>Automático</t>
        </is>
      </c>
      <c r="J127" s="45" t="n"/>
    </row>
    <row r="128" ht="47.5" customHeight="1">
      <c r="A128" s="44" t="n">
        <v>46331</v>
      </c>
      <c r="B128" s="45" t="inlineStr">
        <is>
          <t>Jueves</t>
        </is>
      </c>
      <c r="C128" s="46" t="inlineStr">
        <is>
          <t>04:30</t>
        </is>
      </c>
      <c r="D128" s="47" t="inlineStr">
        <is>
          <t>Team/Coach</t>
        </is>
      </c>
      <c r="E128" s="45" t="inlineStr">
        <is>
          <t>SALE (programado): Cierre a Whitehaven AFC</t>
        </is>
      </c>
      <c r="F128" s="45" t="inlineStr">
        <is>
          <t>No tienes que hacer nada a esta hora si lo programaste la víspera. Si no pudiste programar, envíalo a mano a las 07:30 de Nueva York. Texto en 'Textos para copiar'.</t>
        </is>
      </c>
      <c r="G128" s="45" t="inlineStr">
        <is>
          <t>Textos para copiar</t>
        </is>
      </c>
      <c r="H128" s="45" t="n"/>
      <c r="I128" s="45" t="inlineStr">
        <is>
          <t>Automático</t>
        </is>
      </c>
      <c r="J128" s="45" t="n"/>
    </row>
    <row r="129" ht="62" customHeight="1">
      <c r="A129" s="38" t="n">
        <v>46331</v>
      </c>
      <c r="B129" s="39" t="inlineStr">
        <is>
          <t>Jueves</t>
        </is>
      </c>
      <c r="C129" s="40" t="inlineStr">
        <is>
          <t>8:00</t>
        </is>
      </c>
      <c r="D129" s="41" t="inlineStr">
        <is>
          <t>Todos</t>
        </is>
      </c>
      <c r="E129" s="31" t="inlineStr">
        <is>
          <t>Revisión diaria: bandeja, Instagram, WhatsApp</t>
        </is>
      </c>
      <c r="F129"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9" s="39" t="inlineStr">
        <is>
          <t>Textos para copiar (final de la hoja)</t>
        </is>
      </c>
      <c r="H129" s="39" t="n">
        <v>15</v>
      </c>
      <c r="I129" s="39" t="inlineStr">
        <is>
          <t>Pendiente</t>
        </is>
      </c>
      <c r="J129" s="39" t="n"/>
    </row>
    <row r="130" ht="47.5" customHeight="1">
      <c r="A130" s="38" t="n">
        <v>46331</v>
      </c>
      <c r="B130" s="39" t="inlineStr">
        <is>
          <t>Jueves</t>
        </is>
      </c>
      <c r="C130" s="40" t="inlineStr">
        <is>
          <t>8:00</t>
        </is>
      </c>
      <c r="D130" s="43" t="inlineStr">
        <is>
          <t>Team/Coach</t>
        </is>
      </c>
      <c r="E130" s="31" t="inlineStr">
        <is>
          <t>Comprobar que salieron los correos de hoy y que no hay rebotes</t>
        </is>
      </c>
      <c r="F130" s="39" t="inlineStr">
        <is>
          <t>Carpeta Enviados: confirma que están. Recibidos: busca avisos de rebote (suelen llegar en minutos). Si uno rebota: apunta cuál en la columna Notas de esta fila y avísame; busco otra dirección del club y te la preparo.</t>
        </is>
      </c>
      <c r="G130" s="39" t="inlineStr">
        <is>
          <t>Enviados / Recibidos</t>
        </is>
      </c>
      <c r="H130" s="39" t="n">
        <v>5</v>
      </c>
      <c r="I130" s="39" t="inlineStr">
        <is>
          <t>Pendiente</t>
        </is>
      </c>
      <c r="J130" s="39" t="n"/>
    </row>
    <row r="131" ht="62" customHeight="1">
      <c r="A131" s="38" t="n">
        <v>46332</v>
      </c>
      <c r="B131" s="39" t="inlineStr">
        <is>
          <t>Viernes</t>
        </is>
      </c>
      <c r="C131" s="40" t="inlineStr">
        <is>
          <t>8:00</t>
        </is>
      </c>
      <c r="D131" s="41" t="inlineStr">
        <is>
          <t>Todos</t>
        </is>
      </c>
      <c r="E131" s="31" t="inlineStr">
        <is>
          <t>Revisión diaria: bandeja, Instagram, WhatsApp</t>
        </is>
      </c>
      <c r="F131"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1" s="39" t="inlineStr">
        <is>
          <t>Textos para copiar (final de la hoja)</t>
        </is>
      </c>
      <c r="H131" s="39" t="n">
        <v>15</v>
      </c>
      <c r="I131" s="39" t="inlineStr">
        <is>
          <t>Pendiente</t>
        </is>
      </c>
      <c r="J131" s="39" t="n"/>
    </row>
    <row r="132" ht="33" customHeight="1">
      <c r="A132" s="38" t="n">
        <v>46332</v>
      </c>
      <c r="B132" s="39" t="inlineStr">
        <is>
          <t>Viernes</t>
        </is>
      </c>
      <c r="C132" s="40" t="inlineStr">
        <is>
          <t>Libre</t>
        </is>
      </c>
      <c r="D132" s="41" t="inlineStr">
        <is>
          <t>Todos</t>
        </is>
      </c>
      <c r="E132" s="31" t="inlineStr">
        <is>
          <t>Revisión semanal 4: qué asunto y qué mensaje funcionan mejor</t>
        </is>
      </c>
      <c r="F132" s="39" t="inlineStr">
        <is>
          <t>Con ya 20 o 30 emails enviados se puede empezar a comparar. Pásame respuestas por email para ajustar.</t>
        </is>
      </c>
      <c r="G132" s="39" t="inlineStr">
        <is>
          <t>Hoy</t>
        </is>
      </c>
      <c r="H132" s="39" t="n">
        <v>20</v>
      </c>
      <c r="I132" s="39" t="inlineStr">
        <is>
          <t>Pendiente</t>
        </is>
      </c>
      <c r="J132" s="39" t="n"/>
    </row>
    <row r="133" ht="33" customHeight="1">
      <c r="A133" s="38" t="n">
        <v>46332</v>
      </c>
      <c r="B133" s="39" t="inlineStr">
        <is>
          <t>Viernes</t>
        </is>
      </c>
      <c r="C133" s="40" t="inlineStr">
        <is>
          <t>Libre</t>
        </is>
      </c>
      <c r="D133" s="49" t="inlineStr">
        <is>
          <t>Instagram</t>
        </is>
      </c>
      <c r="E133" s="31" t="inlineStr">
        <is>
          <t>Publicar o subir una story/post</t>
        </is>
      </c>
      <c r="F133" s="39" t="inlineStr">
        <is>
          <t>Lo que tengas de la experiencia (partidos, estadio, instalaciones, sin menores identificables) o el plan que salga de la sesión del 17/10. Mínimo una story.</t>
        </is>
      </c>
      <c r="G133" s="39" t="inlineStr"/>
      <c r="H133" s="39" t="n">
        <v>15</v>
      </c>
      <c r="I133" s="39" t="inlineStr">
        <is>
          <t>Pendiente</t>
        </is>
      </c>
      <c r="J133" s="39" t="n"/>
    </row>
    <row r="134" ht="33" customHeight="1">
      <c r="A134" s="38" t="n">
        <v>46332</v>
      </c>
      <c r="B134" s="39" t="inlineStr">
        <is>
          <t>Viernes</t>
        </is>
      </c>
      <c r="C134" s="40" t="inlineStr">
        <is>
          <t>Libre</t>
        </is>
      </c>
      <c r="D134" s="41" t="inlineStr">
        <is>
          <t>Todos</t>
        </is>
      </c>
      <c r="E134" s="31" t="inlineStr">
        <is>
          <t>Actualizar el CRM con lo que ha pasado esta semana</t>
        </is>
      </c>
      <c r="F134" s="39" t="inlineStr">
        <is>
          <t>Estado y fecha de último contacto de cada club o lead. Así la hoja Hoy cuenta bien.</t>
        </is>
      </c>
      <c r="G134" s="39" t="inlineStr">
        <is>
          <t>Segmento A, B, C</t>
        </is>
      </c>
      <c r="H134" s="39" t="n">
        <v>15</v>
      </c>
      <c r="I134" s="39" t="inlineStr">
        <is>
          <t>Pendiente</t>
        </is>
      </c>
      <c r="J134" s="39" t="n"/>
    </row>
    <row r="135" ht="22" customHeight="1">
      <c r="A135" s="37" t="inlineStr">
        <is>
          <t>SEMANA  09/11 a 15/11</t>
        </is>
      </c>
    </row>
    <row r="136" ht="62" customHeight="1">
      <c r="A136" s="38" t="n">
        <v>46335</v>
      </c>
      <c r="B136" s="39" t="inlineStr">
        <is>
          <t>Lunes</t>
        </is>
      </c>
      <c r="C136" s="40" t="inlineStr">
        <is>
          <t>8:00</t>
        </is>
      </c>
      <c r="D136" s="41" t="inlineStr">
        <is>
          <t>Todos</t>
        </is>
      </c>
      <c r="E136" s="31" t="inlineStr">
        <is>
          <t>Revisión diaria: bandeja, Instagram, WhatsApp</t>
        </is>
      </c>
      <c r="F136"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6" s="39" t="inlineStr">
        <is>
          <t>Textos para copiar (final de la hoja)</t>
        </is>
      </c>
      <c r="H136" s="39" t="n">
        <v>15</v>
      </c>
      <c r="I136" s="39" t="inlineStr">
        <is>
          <t>Pendiente</t>
        </is>
      </c>
      <c r="J136" s="39" t="n"/>
    </row>
    <row r="137" ht="33" customHeight="1">
      <c r="A137" s="38" t="n">
        <v>46335</v>
      </c>
      <c r="B137" s="39" t="inlineStr">
        <is>
          <t>Lunes</t>
        </is>
      </c>
      <c r="C137" s="40" t="inlineStr">
        <is>
          <t>Libre</t>
        </is>
      </c>
      <c r="D137" s="43" t="inlineStr">
        <is>
          <t>Team/Coach</t>
        </is>
      </c>
      <c r="E137" s="31" t="inlineStr">
        <is>
          <t>Pedirme: «investiga 10 clubes más» para la siguiente tanda</t>
        </is>
      </c>
      <c r="F137" s="39" t="inlineStr">
        <is>
          <t>Escríbeme esa frase. Yo verifico decisor y email en la web del club y te dejo los correos listos en esta hoja antes del jueves.</t>
        </is>
      </c>
      <c r="G137" s="39" t="inlineStr">
        <is>
          <t>Chat con Claude</t>
        </is>
      </c>
      <c r="H137" s="39" t="n">
        <v>5</v>
      </c>
      <c r="I137" s="39" t="inlineStr">
        <is>
          <t>Pendiente</t>
        </is>
      </c>
      <c r="J137" s="39" t="n"/>
    </row>
    <row r="138" ht="33" customHeight="1">
      <c r="A138" s="38" t="n">
        <v>46335</v>
      </c>
      <c r="B138" s="39" t="inlineStr">
        <is>
          <t>Lunes</t>
        </is>
      </c>
      <c r="C138" s="40" t="inlineStr">
        <is>
          <t>Libre</t>
        </is>
      </c>
      <c r="D138" s="42" t="inlineStr">
        <is>
          <t>Becas</t>
        </is>
      </c>
      <c r="E138" s="31" t="inlineStr">
        <is>
          <t>Revisar leads de becas con acción vencida</t>
        </is>
      </c>
      <c r="F138" s="39" t="inlineStr">
        <is>
          <t>Pestaña Segmento C - Becas: ordena por 'Próxima acción'. Contesta o actualiza todo lo atrasado. Aplica las 4 preguntas de cualificación.</t>
        </is>
      </c>
      <c r="G138" s="39" t="inlineStr">
        <is>
          <t>Segmento C - Becas</t>
        </is>
      </c>
      <c r="H138" s="39" t="n">
        <v>20</v>
      </c>
      <c r="I138" s="39" t="inlineStr">
        <is>
          <t>Pendiente</t>
        </is>
      </c>
      <c r="J138" s="39" t="n"/>
    </row>
    <row r="139" ht="33" customHeight="1">
      <c r="A139" s="38" t="n">
        <v>46335</v>
      </c>
      <c r="B139" s="39" t="inlineStr">
        <is>
          <t>Lunes</t>
        </is>
      </c>
      <c r="C139" s="40" t="inlineStr">
        <is>
          <t>Libre</t>
        </is>
      </c>
      <c r="D139" s="41" t="inlineStr">
        <is>
          <t>Todos</t>
        </is>
      </c>
      <c r="E139" s="31" t="inlineStr">
        <is>
          <t>Revisión del mes con Claude (45 min)</t>
        </is>
      </c>
      <c r="F139" s="39" t="inlineStr">
        <is>
          <t>Resultados, qué cambiamos, qué dejamos y plan del segundo mes. Comprobamos si llegamos a la primera venta real.</t>
        </is>
      </c>
      <c r="G139" s="39" t="inlineStr">
        <is>
          <t>Chat con Claude</t>
        </is>
      </c>
      <c r="H139" s="39" t="n">
        <v>45</v>
      </c>
      <c r="I139" s="39" t="inlineStr">
        <is>
          <t>Pendiente</t>
        </is>
      </c>
      <c r="J139" s="39" t="n"/>
    </row>
    <row r="140" ht="33" customHeight="1">
      <c r="A140" s="38" t="n">
        <v>46335</v>
      </c>
      <c r="B140" s="39" t="inlineStr">
        <is>
          <t>Lunes</t>
        </is>
      </c>
      <c r="C140" s="40" t="inlineStr">
        <is>
          <t>Libre</t>
        </is>
      </c>
      <c r="D140" s="49" t="inlineStr">
        <is>
          <t>Instagram</t>
        </is>
      </c>
      <c r="E140" s="31" t="inlineStr">
        <is>
          <t>Publicar o subir una story/post</t>
        </is>
      </c>
      <c r="F140" s="39" t="inlineStr">
        <is>
          <t>Lo que tengas de la experiencia (partidos, estadio, instalaciones, sin menores identificables) o el plan que salga de la sesión del 17/10. Mínimo una story.</t>
        </is>
      </c>
      <c r="G140" s="39" t="inlineStr"/>
      <c r="H140" s="39" t="n">
        <v>15</v>
      </c>
      <c r="I140" s="39" t="inlineStr">
        <is>
          <t>Pendiente</t>
        </is>
      </c>
      <c r="J140" s="39" t="n"/>
    </row>
    <row r="141" ht="134.5" customHeight="1">
      <c r="A141" s="38" t="n">
        <v>46335</v>
      </c>
      <c r="B141" s="39" t="inlineStr">
        <is>
          <t>Lunes</t>
        </is>
      </c>
      <c r="C141" s="40" t="inlineStr">
        <is>
          <t>20:00</t>
        </is>
      </c>
      <c r="D141" s="43" t="inlineStr">
        <is>
          <t>Team/Coach</t>
        </is>
      </c>
      <c r="E141" s="31" t="inlineStr">
        <is>
          <t>Preparar (y programar si puedes) los envíos del martes 10/11</t>
        </is>
      </c>
      <c r="F141" s="39" t="inlineStr">
        <is>
          <t>Para cada correo: copia Para, Asunto y Texto de la hoja 'Textos para copiar' (filtra por la fecha 10/11). Revisa en 30 segundos: saludo, nombre del club, firma abajo, sin adjuntos. Programa el envío a la hora indicada si tu correo lo permite (ver LEEME). Si no puedes programar, no pasa nada: mañana a las 07:30 de Nueva York los envías a mano.
• FC Porte d'Aquitaine | Cierre | programar para las 03:30 hora Nueva York (09:30 locales). Texto: fila de la hoja Textos para copiar del 10/11.
• Virtu Academy | Cierre | programar para las 04:30 hora Nueva York (09:30 locales). Texto: fila de la hoja Textos para copiar del 10/11.</t>
        </is>
      </c>
      <c r="G141" s="39" t="inlineStr">
        <is>
          <t>Textos para copiar</t>
        </is>
      </c>
      <c r="H141" s="39" t="n">
        <v>25</v>
      </c>
      <c r="I141" s="39" t="inlineStr">
        <is>
          <t>Pendiente</t>
        </is>
      </c>
      <c r="J141" s="39" t="n"/>
    </row>
    <row r="142" ht="47.5" customHeight="1">
      <c r="A142" s="44" t="n">
        <v>46336</v>
      </c>
      <c r="B142" s="45" t="inlineStr">
        <is>
          <t>Martes</t>
        </is>
      </c>
      <c r="C142" s="46" t="inlineStr">
        <is>
          <t>03:30</t>
        </is>
      </c>
      <c r="D142" s="47" t="inlineStr">
        <is>
          <t>Team/Coach</t>
        </is>
      </c>
      <c r="E142" s="45" t="inlineStr">
        <is>
          <t>SALE (programado): Cierre a FC Porte d'Aquitaine</t>
        </is>
      </c>
      <c r="F142" s="45" t="inlineStr">
        <is>
          <t>No tienes que hacer nada a esta hora si lo programaste la víspera. Si no pudiste programar, envíalo a mano a las 07:30 de Nueva York. Texto en 'Textos para copiar'.</t>
        </is>
      </c>
      <c r="G142" s="45" t="inlineStr">
        <is>
          <t>Textos para copiar</t>
        </is>
      </c>
      <c r="H142" s="45" t="n"/>
      <c r="I142" s="45" t="inlineStr">
        <is>
          <t>Automático</t>
        </is>
      </c>
      <c r="J142" s="45" t="n"/>
    </row>
    <row r="143" ht="47.5" customHeight="1">
      <c r="A143" s="44" t="n">
        <v>46336</v>
      </c>
      <c r="B143" s="45" t="inlineStr">
        <is>
          <t>Martes</t>
        </is>
      </c>
      <c r="C143" s="46" t="inlineStr">
        <is>
          <t>04:30</t>
        </is>
      </c>
      <c r="D143" s="47" t="inlineStr">
        <is>
          <t>Team/Coach</t>
        </is>
      </c>
      <c r="E143" s="45" t="inlineStr">
        <is>
          <t>SALE (programado): Cierre a Virtu Academy</t>
        </is>
      </c>
      <c r="F143" s="45" t="inlineStr">
        <is>
          <t>No tienes que hacer nada a esta hora si lo programaste la víspera. Si no pudiste programar, envíalo a mano a las 07:30 de Nueva York. Texto en 'Textos para copiar'.</t>
        </is>
      </c>
      <c r="G143" s="45" t="inlineStr">
        <is>
          <t>Textos para copiar</t>
        </is>
      </c>
      <c r="H143" s="45" t="n"/>
      <c r="I143" s="45" t="inlineStr">
        <is>
          <t>Automático</t>
        </is>
      </c>
      <c r="J143" s="45" t="n"/>
    </row>
    <row r="144" ht="62" customHeight="1">
      <c r="A144" s="38" t="n">
        <v>46336</v>
      </c>
      <c r="B144" s="39" t="inlineStr">
        <is>
          <t>Martes</t>
        </is>
      </c>
      <c r="C144" s="40" t="inlineStr">
        <is>
          <t>8:00</t>
        </is>
      </c>
      <c r="D144" s="41" t="inlineStr">
        <is>
          <t>Todos</t>
        </is>
      </c>
      <c r="E144" s="31" t="inlineStr">
        <is>
          <t>Revisión diaria: bandeja, Instagram, WhatsApp</t>
        </is>
      </c>
      <c r="F144"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4" s="39" t="inlineStr">
        <is>
          <t>Textos para copiar (final de la hoja)</t>
        </is>
      </c>
      <c r="H144" s="39" t="n">
        <v>15</v>
      </c>
      <c r="I144" s="39" t="inlineStr">
        <is>
          <t>Pendiente</t>
        </is>
      </c>
      <c r="J144" s="39" t="n"/>
    </row>
    <row r="145" ht="47.5" customHeight="1">
      <c r="A145" s="38" t="n">
        <v>46336</v>
      </c>
      <c r="B145" s="39" t="inlineStr">
        <is>
          <t>Martes</t>
        </is>
      </c>
      <c r="C145" s="40" t="inlineStr">
        <is>
          <t>8:00</t>
        </is>
      </c>
      <c r="D145" s="43" t="inlineStr">
        <is>
          <t>Team/Coach</t>
        </is>
      </c>
      <c r="E145" s="31" t="inlineStr">
        <is>
          <t>Comprobar que salieron los correos de hoy y que no hay rebotes</t>
        </is>
      </c>
      <c r="F145" s="39" t="inlineStr">
        <is>
          <t>Carpeta Enviados: confirma que están. Recibidos: busca avisos de rebote (suelen llegar en minutos). Si uno rebota: apunta cuál en la columna Notas de esta fila y avísame; busco otra dirección del club y te la preparo.</t>
        </is>
      </c>
      <c r="G145" s="39" t="inlineStr">
        <is>
          <t>Enviados / Recibidos</t>
        </is>
      </c>
      <c r="H145" s="39" t="n">
        <v>5</v>
      </c>
      <c r="I145" s="39" t="inlineStr">
        <is>
          <t>Pendiente</t>
        </is>
      </c>
      <c r="J145" s="39" t="n"/>
    </row>
    <row r="146" ht="62" customHeight="1">
      <c r="A146" s="38" t="n">
        <v>46337</v>
      </c>
      <c r="B146" s="39" t="inlineStr">
        <is>
          <t>Miércoles</t>
        </is>
      </c>
      <c r="C146" s="40" t="inlineStr">
        <is>
          <t>8:00</t>
        </is>
      </c>
      <c r="D146" s="41" t="inlineStr">
        <is>
          <t>Todos</t>
        </is>
      </c>
      <c r="E146" s="31" t="inlineStr">
        <is>
          <t>Revisión diaria: bandeja, Instagram, WhatsApp</t>
        </is>
      </c>
      <c r="F146"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6" s="39" t="inlineStr">
        <is>
          <t>Textos para copiar (final de la hoja)</t>
        </is>
      </c>
      <c r="H146" s="39" t="n">
        <v>15</v>
      </c>
      <c r="I146" s="39" t="inlineStr">
        <is>
          <t>Pendiente</t>
        </is>
      </c>
      <c r="J146" s="39" t="n"/>
    </row>
    <row r="147" ht="33" customHeight="1">
      <c r="A147" s="38" t="n">
        <v>46337</v>
      </c>
      <c r="B147" s="39" t="inlineStr">
        <is>
          <t>Miércoles</t>
        </is>
      </c>
      <c r="C147" s="40" t="inlineStr">
        <is>
          <t>Libre</t>
        </is>
      </c>
      <c r="D147" s="49" t="inlineStr">
        <is>
          <t>Instagram</t>
        </is>
      </c>
      <c r="E147" s="31" t="inlineStr">
        <is>
          <t>Publicar o subir una story/post</t>
        </is>
      </c>
      <c r="F147" s="39" t="inlineStr">
        <is>
          <t>Lo que tengas de la experiencia (partidos, estadio, instalaciones, sin menores identificables) o el plan que salga de la sesión del 17/10. Mínimo una story.</t>
        </is>
      </c>
      <c r="G147" s="39" t="inlineStr"/>
      <c r="H147" s="39" t="n">
        <v>15</v>
      </c>
      <c r="I147" s="39" t="inlineStr">
        <is>
          <t>Pendiente</t>
        </is>
      </c>
      <c r="J147" s="39" t="n"/>
    </row>
    <row r="148" ht="62" customHeight="1">
      <c r="A148" s="38" t="n">
        <v>46338</v>
      </c>
      <c r="B148" s="39" t="inlineStr">
        <is>
          <t>Jueves</t>
        </is>
      </c>
      <c r="C148" s="40" t="inlineStr">
        <is>
          <t>8:00</t>
        </is>
      </c>
      <c r="D148" s="41" t="inlineStr">
        <is>
          <t>Todos</t>
        </is>
      </c>
      <c r="E148" s="31" t="inlineStr">
        <is>
          <t>Revisión diaria: bandeja, Instagram, WhatsApp</t>
        </is>
      </c>
      <c r="F148"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8" s="39" t="inlineStr">
        <is>
          <t>Textos para copiar (final de la hoja)</t>
        </is>
      </c>
      <c r="H148" s="39" t="n">
        <v>15</v>
      </c>
      <c r="I148" s="39" t="inlineStr">
        <is>
          <t>Pendiente</t>
        </is>
      </c>
      <c r="J148" s="39" t="n"/>
    </row>
    <row r="149" ht="62" customHeight="1">
      <c r="A149" s="38" t="n">
        <v>46339</v>
      </c>
      <c r="B149" s="39" t="inlineStr">
        <is>
          <t>Viernes</t>
        </is>
      </c>
      <c r="C149" s="40" t="inlineStr">
        <is>
          <t>8:00</t>
        </is>
      </c>
      <c r="D149" s="41" t="inlineStr">
        <is>
          <t>Todos</t>
        </is>
      </c>
      <c r="E149" s="31" t="inlineStr">
        <is>
          <t>Revisión diaria: bandeja, Instagram, WhatsApp</t>
        </is>
      </c>
      <c r="F149"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9" s="39" t="inlineStr">
        <is>
          <t>Textos para copiar (final de la hoja)</t>
        </is>
      </c>
      <c r="H149" s="39" t="n">
        <v>15</v>
      </c>
      <c r="I149" s="39" t="inlineStr">
        <is>
          <t>Pendiente</t>
        </is>
      </c>
      <c r="J149" s="39" t="n"/>
    </row>
    <row r="150" ht="33" customHeight="1">
      <c r="A150" s="38" t="n">
        <v>46339</v>
      </c>
      <c r="B150" s="39" t="inlineStr">
        <is>
          <t>Viernes</t>
        </is>
      </c>
      <c r="C150" s="40" t="inlineStr">
        <is>
          <t>Libre</t>
        </is>
      </c>
      <c r="D150" s="49" t="inlineStr">
        <is>
          <t>Instagram</t>
        </is>
      </c>
      <c r="E150" s="31" t="inlineStr">
        <is>
          <t>Publicar o subir una story/post</t>
        </is>
      </c>
      <c r="F150" s="39" t="inlineStr">
        <is>
          <t>Lo que tengas de la experiencia (partidos, estadio, instalaciones, sin menores identificables) o el plan que salga de la sesión del 17/10. Mínimo una story.</t>
        </is>
      </c>
      <c r="G150" s="39" t="inlineStr"/>
      <c r="H150" s="39" t="n">
        <v>15</v>
      </c>
      <c r="I150" s="39" t="inlineStr">
        <is>
          <t>Pendiente</t>
        </is>
      </c>
      <c r="J150" s="39" t="n"/>
    </row>
    <row r="151" ht="33" customHeight="1">
      <c r="A151" s="38" t="n">
        <v>46339</v>
      </c>
      <c r="B151" s="39" t="inlineStr">
        <is>
          <t>Viernes</t>
        </is>
      </c>
      <c r="C151" s="40" t="inlineStr">
        <is>
          <t>Libre</t>
        </is>
      </c>
      <c r="D151" s="41" t="inlineStr">
        <is>
          <t>Todos</t>
        </is>
      </c>
      <c r="E151" s="31" t="inlineStr">
        <is>
          <t>Actualizar el CRM con lo que ha pasado esta semana</t>
        </is>
      </c>
      <c r="F151" s="39" t="inlineStr">
        <is>
          <t>Estado y fecha de último contacto de cada club o lead. Así la hoja Hoy cuenta bien.</t>
        </is>
      </c>
      <c r="G151" s="39" t="inlineStr">
        <is>
          <t>Segmento A, B, C</t>
        </is>
      </c>
      <c r="H151" s="39" t="n">
        <v>15</v>
      </c>
      <c r="I151" s="39" t="inlineStr">
        <is>
          <t>Pendiente</t>
        </is>
      </c>
      <c r="J151" s="39" t="n"/>
    </row>
  </sheetData>
  <autoFilter ref="A4:J151"/>
  <mergeCells count="6">
    <mergeCell ref="A5:J5"/>
    <mergeCell ref="A2:I2"/>
    <mergeCell ref="A135:J135"/>
    <mergeCell ref="A67:J67"/>
    <mergeCell ref="A104:J104"/>
    <mergeCell ref="A33:J33"/>
  </mergeCells>
  <conditionalFormatting sqref="A5:J151">
    <cfRule type="expression" priority="1" dxfId="0" stopIfTrue="1">
      <formula>$I5="Hecho"</formula>
    </cfRule>
    <cfRule type="expression" priority="2" dxfId="1">
      <formula>$A5=TODAY()</formula>
    </cfRule>
  </conditionalFormatting>
  <conditionalFormatting sqref="I5:I151">
    <cfRule type="expression" priority="3" dxfId="2">
      <formula>AND(ISNUMBER($A5),$A5&lt;TODAY(),$I5="Pendiente")</formula>
    </cfRule>
  </conditionalFormatting>
  <dataValidations count="1">
    <dataValidation sqref="I6 I7 I8 I11 I12 I13 I14 I15 I16 I17 I21 I22 I23 I24 I25 I26 I27 I28 I29 I30 I31 I32 I34 I35 I36 I37 I38 I39 I40 I45 I46 I47 I48 I51 I52 I53 I54 I58 I59 I60 I61 I62 I63 I64 I65 I66 I68 I69 I70 I71 I72 I73 I78 I79 I80 I81 I84 I85 I86 I87 I88 I89 I90 I94 I95 I96 I97 I98 I99 I100 I101 I102 I103 I105 I106 I107 I108 I109 I114 I115 I116 I117 I120 I121 I122 I123 I124 I125 I129 I130 I131 I132 I133 I134 I136 I137 I138 I139 I140 I141 I144 I145 I146 I147 I148 I149 I150 I151" showDropDown="0" showInputMessage="0" showErrorMessage="0" allowBlank="1" type="list">
      <formula1>"Pendiente,Hecho,Saltado"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6" customWidth="1" min="4" max="4"/>
    <col width="16" customWidth="1" min="5" max="5"/>
    <col width="18" customWidth="1" min="6" max="6"/>
    <col width="12" customWidth="1" min="7" max="7"/>
  </cols>
  <sheetData>
    <row r="1">
      <c r="A1" s="1" t="inlineStr">
        <is>
          <t>Plan de ventas — panel diario Always Up</t>
        </is>
      </c>
    </row>
    <row r="2">
      <c r="A2" s="2" t="inlineStr">
        <is>
          <t>Actualizar cada día de trabajo. Fecha de última actualización:</t>
        </is>
      </c>
      <c r="E2" s="3">
        <f>TODAY()</f>
        <v/>
      </c>
    </row>
    <row r="4">
      <c r="A4" s="4" t="inlineStr">
        <is>
          <t>🔴 URGENTE — mirar esto primero</t>
        </is>
      </c>
    </row>
    <row r="5">
      <c r="A5" s="5" t="inlineStr">
        <is>
          <t>Qué</t>
        </is>
      </c>
      <c r="B5" s="5" t="inlineStr">
        <is>
          <t>Cuántos ahora (se calcula solo)</t>
        </is>
      </c>
    </row>
    <row r="6">
      <c r="A6" s="6" t="inlineStr">
        <is>
          <t>Follow-ups de clubes atrasados (enviado hace más de 10 días, sin respuesta)</t>
        </is>
      </c>
      <c r="B6" s="6">
        <f>COUNTIFS('Segmento A - Clubes'!I2:I300,"Enviado",'Segmento A - Clubes'!M2:M300,"&lt;&gt;",'Segmento A - Clubes'!M2:M300,"&lt;"&amp;(TODAY()-10))+COUNTIFS('Segmento B - America'!H2:H300,"Enviado",'Segmento B - America'!L2:L300,"&lt;&gt;",'Segmento B - America'!L2:L300,"&lt;"&amp;(TODAY()-10))</f>
        <v/>
      </c>
    </row>
    <row r="7">
      <c r="A7" s="6" t="inlineStr">
        <is>
          <t>Leads de becas con llamada agendada (confirmar/preparar)</t>
        </is>
      </c>
      <c r="B7" s="6">
        <f>COUNTIF('Segmento C - Becas'!E2:E300,"Llamada agendada")</f>
        <v/>
      </c>
    </row>
    <row r="8">
      <c r="A8" s="6" t="inlineStr">
        <is>
          <t>Leads de becas cualificados sin próxima acción clara desde hace tiempo (revisar a mano)</t>
        </is>
      </c>
      <c r="B8" s="6">
        <f>COUNTIF('Segmento C - Becas'!E2:E300,"Cualificado")</f>
        <v/>
      </c>
    </row>
    <row r="10">
      <c r="A10" s="7" t="inlineStr">
        <is>
          <t>🟠 OUTBOUND — lo que generas tú hoy</t>
        </is>
      </c>
    </row>
    <row r="11">
      <c r="A11" s="5" t="inlineStr">
        <is>
          <t>Métrica</t>
        </is>
      </c>
      <c r="B11" s="5" t="inlineStr">
        <is>
          <t>Meta semanal</t>
        </is>
      </c>
      <c r="C11" s="5" t="inlineStr">
        <is>
          <t>Hecho hoy (rellenar tú)</t>
        </is>
      </c>
    </row>
    <row r="12">
      <c r="A12" s="6" t="inlineStr">
        <is>
          <t>Nuevos clubes/academias investigados con decisor y email verificados</t>
        </is>
      </c>
      <c r="B12" s="6" t="inlineStr">
        <is>
          <t>10</t>
        </is>
      </c>
      <c r="C12" s="8" t="n"/>
    </row>
    <row r="13">
      <c r="A13" s="6" t="inlineStr">
        <is>
          <t>Emails de outreach nuevos enviados</t>
        </is>
      </c>
      <c r="B13" s="6" t="inlineStr">
        <is>
          <t>5 a 8</t>
        </is>
      </c>
      <c r="C13" s="8" t="n"/>
    </row>
    <row r="14">
      <c r="A14" s="6" t="inlineStr">
        <is>
          <t>Conexiones de LinkedIn con nota personalizada</t>
        </is>
      </c>
      <c r="B14" s="6" t="inlineStr">
        <is>
          <t>5</t>
        </is>
      </c>
      <c r="C14" s="8" t="n"/>
    </row>
    <row r="17">
      <c r="A17" s="7" t="inlineStr">
        <is>
          <t>🟢 INBOUND — lo que te llega a ti</t>
        </is>
      </c>
    </row>
    <row r="18">
      <c r="A18" s="5" t="inlineStr">
        <is>
          <t>Qué</t>
        </is>
      </c>
      <c r="B18" s="5" t="inlineStr">
        <is>
          <t>Cuántos ahora (se calcula solo)</t>
        </is>
      </c>
    </row>
    <row r="19">
      <c r="A19" s="6" t="inlineStr">
        <is>
          <t>Leads de becas nuevos sin cualificar todavía</t>
        </is>
      </c>
      <c r="B19" s="6">
        <f>COUNTIF('Segmento C - Becas'!E2:E300,"Nuevo")</f>
        <v/>
      </c>
    </row>
    <row r="21">
      <c r="A21" s="7" t="inlineStr">
        <is>
          <t>📊 PIPELINE — resumen por segmento (detalle completo en pestaña Dashboard)</t>
        </is>
      </c>
    </row>
    <row r="22">
      <c r="A22" s="5" t="inlineStr">
        <is>
          <t>Segmento</t>
        </is>
      </c>
      <c r="B22" s="5" t="inlineStr">
        <is>
          <t>Total en lista</t>
        </is>
      </c>
      <c r="C22" s="5" t="inlineStr">
        <is>
          <t>Listo para enviar</t>
        </is>
      </c>
      <c r="D22" s="5" t="inlineStr">
        <is>
          <t>Enviado</t>
        </is>
      </c>
      <c r="E22" s="5" t="inlineStr">
        <is>
          <t>Respondido</t>
        </is>
      </c>
      <c r="F22" s="5" t="inlineStr">
        <is>
          <t>Llamada agendada</t>
        </is>
      </c>
      <c r="G22" s="5" t="inlineStr">
        <is>
          <t>Cerrado</t>
        </is>
      </c>
    </row>
    <row r="23">
      <c r="A23" s="6" t="inlineStr">
        <is>
          <t>Segmento A — Clubes juveniles</t>
        </is>
      </c>
      <c r="B23" s="6">
        <f>COUNTA('Segmento A - Clubes'!A2:A300)</f>
        <v/>
      </c>
      <c r="C23" s="6">
        <f>COUNTIF('Segmento A - Clubes'!I2:I300,"Listo para enviar")</f>
        <v/>
      </c>
      <c r="D23" s="6">
        <f>COUNTIF('Segmento A - Clubes'!I2:I300,"Enviado")</f>
        <v/>
      </c>
      <c r="E23" s="6">
        <f>COUNTIF('Segmento A - Clubes'!I2:I300,"Respondido")</f>
        <v/>
      </c>
      <c r="F23" s="6">
        <f>COUNTIF('Segmento A - Clubes'!I2:I300,"Llamada agendada")</f>
        <v/>
      </c>
      <c r="G23" s="6">
        <f>COUNTIF('Segmento A - Clubes'!I2:I300,"Cerrado")</f>
        <v/>
      </c>
    </row>
    <row r="24">
      <c r="A24" s="6" t="inlineStr">
        <is>
          <t>Segmento B — Univ./clubes América</t>
        </is>
      </c>
      <c r="B24" s="6">
        <f>COUNTA('Segmento B - America'!A2:A300)</f>
        <v/>
      </c>
      <c r="C24" s="6">
        <f>COUNTIF('Segmento B - America'!H2:H300,"Listo para enviar")</f>
        <v/>
      </c>
      <c r="D24" s="6">
        <f>COUNTIF('Segmento B - America'!H2:H300,"Enviado")</f>
        <v/>
      </c>
      <c r="E24" s="6">
        <f>COUNTIF('Segmento B - America'!H2:H300,"Respondido")</f>
        <v/>
      </c>
      <c r="F24" s="6">
        <f>COUNTIF('Segmento B - America'!H2:H300,"Llamada agendada")</f>
        <v/>
      </c>
      <c r="G24" s="6">
        <f>COUNTIF('Segmento B - America'!H2:H300,"Cerrado")</f>
        <v/>
      </c>
    </row>
    <row r="26">
      <c r="A26" s="9" t="inlineStr">
        <is>
          <t>Segmento C — Becas</t>
        </is>
      </c>
    </row>
    <row r="27">
      <c r="A27" s="5" t="inlineStr">
        <is>
          <t>Etapa</t>
        </is>
      </c>
      <c r="B27" s="5" t="inlineStr">
        <is>
          <t>Total</t>
        </is>
      </c>
    </row>
    <row r="28">
      <c r="A28" s="6" t="inlineStr">
        <is>
          <t>Nuevo</t>
        </is>
      </c>
      <c r="B28" s="6">
        <f>COUNTIF('Segmento C - Becas'!E2:E300,"Nuevo")</f>
        <v/>
      </c>
    </row>
    <row r="29">
      <c r="A29" s="6" t="inlineStr">
        <is>
          <t>Cualificado</t>
        </is>
      </c>
      <c r="B29" s="6">
        <f>COUNTIF('Segmento C - Becas'!E2:E300,"Cualificado")</f>
        <v/>
      </c>
    </row>
    <row r="30">
      <c r="A30" s="6" t="inlineStr">
        <is>
          <t>Llamada agendada</t>
        </is>
      </c>
      <c r="B30" s="6">
        <f>COUNTIF('Segmento C - Becas'!E2:E300,"Llamada agendada")</f>
        <v/>
      </c>
    </row>
    <row r="31">
      <c r="A31" s="6" t="inlineStr">
        <is>
          <t>Llamada realizada</t>
        </is>
      </c>
      <c r="B31" s="6">
        <f>COUNTIF('Segmento C - Becas'!E2:E300,"Llamada realizada")</f>
        <v/>
      </c>
    </row>
    <row r="32">
      <c r="A32" s="6" t="inlineStr">
        <is>
          <t>Cerrado</t>
        </is>
      </c>
      <c r="B32" s="6">
        <f>COUNTIF('Segmento C - Becas'!E2:E300,"Cerrado")</f>
        <v/>
      </c>
    </row>
    <row r="33">
      <c r="A33" s="6" t="inlineStr">
        <is>
          <t>Perdido</t>
        </is>
      </c>
      <c r="B33" s="6">
        <f>COUNTIF('Segmento C - Becas'!E2:E300,"Perdido")</f>
        <v/>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B1F3A"/>
    <outlinePr summaryBelow="1" summaryRight="1"/>
    <pageSetUpPr/>
  </sheetPr>
  <dimension ref="A1:K61"/>
  <sheetViews>
    <sheetView workbookViewId="0">
      <pane ySplit="4" topLeftCell="A5" activePane="bottomLeft" state="frozen"/>
      <selection pane="bottomLeft" activeCell="A1" sqref="A1"/>
    </sheetView>
  </sheetViews>
  <sheetFormatPr baseColWidth="8" defaultRowHeight="15"/>
  <cols>
    <col width="11" customWidth="1" min="1" max="1"/>
    <col width="9" customWidth="1" min="2" max="2"/>
    <col width="9" customWidth="1" min="3" max="3"/>
    <col width="26" customWidth="1" min="4" max="4"/>
    <col width="15" customWidth="1" min="5" max="5"/>
    <col width="30" customWidth="1" min="6" max="6"/>
    <col width="34" customWidth="1" min="7" max="7"/>
    <col width="78" customWidth="1" min="8" max="8"/>
    <col width="44" customWidth="1" min="9" max="9"/>
    <col width="14" customWidth="1" min="10" max="10"/>
    <col width="36" customWidth="1" min="11" max="11"/>
  </cols>
  <sheetData>
    <row r="1" ht="26" customHeight="1">
      <c r="A1" s="33" t="inlineStr">
        <is>
          <t>Textos para copiar y pegar</t>
        </is>
      </c>
    </row>
    <row r="2" ht="46" customHeight="1">
      <c r="A2" s="34" t="inlineStr">
        <is>
          <t>Una fila por envío, ordenada por fecha. Filtra la columna Fecha para ver solo el día que toca. Copia Para, Asunto y Texto sin cambiar nada: la firma ya va incluida. Hora NY = a qué hora programar el envío en Outlook (equivale a las 09:30 del destinatario). Los textos están revisados por Claude: sin guiones largos, sin placeholders, saludo a una sola persona.</t>
        </is>
      </c>
    </row>
    <row r="4" ht="30" customHeight="1">
      <c r="A4" s="35" t="inlineStr">
        <is>
          <t>Fecha</t>
        </is>
      </c>
      <c r="B4" s="35" t="inlineStr">
        <is>
          <t>Día</t>
        </is>
      </c>
      <c r="C4" s="35" t="inlineStr">
        <is>
          <t>Hora NY</t>
        </is>
      </c>
      <c r="D4" s="35" t="inlineStr">
        <is>
          <t>Club</t>
        </is>
      </c>
      <c r="E4" s="35" t="inlineStr">
        <is>
          <t>Tipo</t>
        </is>
      </c>
      <c r="F4" s="35" t="inlineStr">
        <is>
          <t>Para</t>
        </is>
      </c>
      <c r="G4" s="35" t="inlineStr">
        <is>
          <t>Asunto</t>
        </is>
      </c>
      <c r="H4" s="35" t="inlineStr">
        <is>
          <t>Texto para pegar</t>
        </is>
      </c>
      <c r="I4" s="35" t="inlineStr">
        <is>
          <t>Cómo enviarlo</t>
        </is>
      </c>
      <c r="J4" s="35" t="inlineStr">
        <is>
          <t>Hecho (fecha real)</t>
        </is>
      </c>
      <c r="K4" s="35" t="inlineStr">
        <is>
          <t>Qué hacer si...</t>
        </is>
      </c>
    </row>
    <row r="5" ht="279.5" customHeight="1">
      <c r="A5" s="50" t="n">
        <v>46309</v>
      </c>
      <c r="B5" s="51" t="inlineStr">
        <is>
          <t>Miércoles</t>
        </is>
      </c>
      <c r="C5" s="52" t="inlineStr">
        <is>
          <t>04:30</t>
        </is>
      </c>
      <c r="D5" s="51" t="inlineStr">
        <is>
          <t>Holbeach United</t>
        </is>
      </c>
      <c r="E5" s="51" t="inlineStr">
        <is>
          <t>Email 1</t>
        </is>
      </c>
      <c r="F5" s="51" t="inlineStr">
        <is>
          <t>callum@holbeachunitedacademy.com</t>
        </is>
      </c>
      <c r="G5" s="51" t="inlineStr">
        <is>
          <t>A week in Spain for Holbeach's academy squads</t>
        </is>
      </c>
      <c r="H5" s="51"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I5"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5" s="51" t="n"/>
      <c r="K5" s="51" t="inlineStr">
        <is>
          <t>Rebota: avísame y busco otra dirección. Contesta: para la cadencia y mira 'Respuestas tipo' abajo.</t>
        </is>
      </c>
    </row>
    <row r="6" ht="294" customHeight="1">
      <c r="A6" s="50" t="n">
        <v>46309</v>
      </c>
      <c r="B6" s="51" t="inlineStr">
        <is>
          <t>Miércoles</t>
        </is>
      </c>
      <c r="C6" s="52" t="inlineStr">
        <is>
          <t>03:30</t>
        </is>
      </c>
      <c r="D6" s="51" t="inlineStr">
        <is>
          <t>Søreide IL</t>
        </is>
      </c>
      <c r="E6" s="51" t="inlineStr">
        <is>
          <t>Email 1</t>
        </is>
      </c>
      <c r="F6" s="51" t="inlineStr">
        <is>
          <t>fotball@soreideil.no</t>
        </is>
      </c>
      <c r="G6" s="51" t="inlineStr">
        <is>
          <t>A week in Spain for Søreide's youth teams</t>
        </is>
      </c>
      <c r="H6" s="51"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I6"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6" s="51" t="n"/>
      <c r="K6" s="51" t="inlineStr">
        <is>
          <t>Rebota: avísame y busco otra dirección. Contesta: para la cadencia y mira 'Respuestas tipo' abajo.</t>
        </is>
      </c>
    </row>
    <row r="7" ht="62" customHeight="1">
      <c r="A7" s="53" t="n">
        <v>46310</v>
      </c>
      <c r="B7" s="54" t="inlineStr">
        <is>
          <t>Jueves</t>
        </is>
      </c>
      <c r="C7" s="55" t="inlineStr">
        <is>
          <t>Libre</t>
        </is>
      </c>
      <c r="D7" s="54" t="inlineStr">
        <is>
          <t>Hastings United (Girls Academy)</t>
        </is>
      </c>
      <c r="E7" s="54" t="inlineStr">
        <is>
          <t>LinkedIn conectar</t>
        </is>
      </c>
      <c r="F7" s="54" t="inlineStr">
        <is>
          <t>Georgia Townsend</t>
        </is>
      </c>
      <c r="G7" s="54" t="inlineStr">
        <is>
          <t>(nota de conexión)</t>
        </is>
      </c>
      <c r="H7" s="54" t="inlineStr">
        <is>
          <t>Hi Georgia, I'm Joel, I run Always Up. We take youth teams to Spain to train with Atlético de Madrid and Real Sociedad. I emailed you this week and thought I'd connect here too. Joel</t>
        </is>
      </c>
      <c r="I7" s="54" t="inlineStr">
        <is>
          <t>A mano en LinkedIn: perfil de la persona &gt; Conectar &gt; Añadir nota &gt; pegar el texto (máx. 300 caracteres). Si no deja añadir nota, conecta sin nota y manda el texto cuando acepte.</t>
        </is>
      </c>
      <c r="J7" s="54" t="n"/>
      <c r="K7" s="54" t="inlineStr">
        <is>
          <t>Si acepta, no mandes más mensajes hasta que conteste al email.</t>
        </is>
      </c>
    </row>
    <row r="8" ht="236" customHeight="1">
      <c r="A8" s="50" t="n">
        <v>46310</v>
      </c>
      <c r="B8" s="51" t="inlineStr">
        <is>
          <t>Jueves</t>
        </is>
      </c>
      <c r="C8" s="52" t="inlineStr">
        <is>
          <t>05:30</t>
        </is>
      </c>
      <c r="D8" s="51" t="inlineStr">
        <is>
          <t>IA Akranes</t>
        </is>
      </c>
      <c r="E8" s="51" t="inlineStr">
        <is>
          <t>Email 1</t>
        </is>
      </c>
      <c r="F8" s="51" t="inlineStr">
        <is>
          <t>kfia@ia.is</t>
        </is>
      </c>
      <c r="G8" s="51" t="inlineStr">
        <is>
          <t>A question about youth trips to Spain</t>
        </is>
      </c>
      <c r="H8" s="51"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I8"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8" s="51" t="n"/>
      <c r="K8" s="51" t="inlineStr">
        <is>
          <t>Rebota: avísame y busco otra dirección. Contesta: para la cadencia y mira 'Respuestas tipo' abajo.</t>
        </is>
      </c>
    </row>
    <row r="9" ht="250.5" customHeight="1">
      <c r="A9" s="50" t="n">
        <v>46310</v>
      </c>
      <c r="B9" s="51" t="inlineStr">
        <is>
          <t>Jueves</t>
        </is>
      </c>
      <c r="C9" s="52" t="inlineStr">
        <is>
          <t>04:30</t>
        </is>
      </c>
      <c r="D9" s="51" t="inlineStr">
        <is>
          <t>Maidstone United (Girls Development Centre)</t>
        </is>
      </c>
      <c r="E9" s="51" t="inlineStr">
        <is>
          <t>Email 1</t>
        </is>
      </c>
      <c r="F9" s="51" t="inlineStr">
        <is>
          <t>info@maidstoneunited.co.uk</t>
        </is>
      </c>
      <c r="G9" s="51" t="inlineStr">
        <is>
          <t>A question about the Girls Development Centre</t>
        </is>
      </c>
      <c r="H9" s="51"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I9"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9" s="51" t="n"/>
      <c r="K9" s="51" t="inlineStr">
        <is>
          <t>Rebota: avísame y busco otra dirección. Contesta: para la cadencia y mira 'Respuestas tipo' abajo.</t>
        </is>
      </c>
    </row>
    <row r="10" ht="265" customHeight="1">
      <c r="A10" s="50" t="n">
        <v>46310</v>
      </c>
      <c r="B10" s="51" t="inlineStr">
        <is>
          <t>Jueves</t>
        </is>
      </c>
      <c r="C10" s="52" t="inlineStr">
        <is>
          <t>04:30</t>
        </is>
      </c>
      <c r="D10" s="51" t="inlineStr">
        <is>
          <t>Whitehaven AFC (Juniors Girls U13-U15)</t>
        </is>
      </c>
      <c r="E10" s="51" t="inlineStr">
        <is>
          <t>Email 1</t>
        </is>
      </c>
      <c r="F10" s="51" t="inlineStr">
        <is>
          <t>Luke.johnston@whitehavenafc.com</t>
        </is>
      </c>
      <c r="G10" s="51" t="inlineStr">
        <is>
          <t>A week in Spain for Whitehaven's girls teams</t>
        </is>
      </c>
      <c r="H10" s="51"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I10"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10" s="51" t="n"/>
      <c r="K10" s="51" t="inlineStr">
        <is>
          <t>Rebota: avísame y busco otra dirección. Contesta: para la cadencia y mira 'Respuestas tipo' abajo.</t>
        </is>
      </c>
    </row>
    <row r="11" ht="62" customHeight="1">
      <c r="A11" s="53" t="n">
        <v>46311</v>
      </c>
      <c r="B11" s="54" t="inlineStr">
        <is>
          <t>Viernes</t>
        </is>
      </c>
      <c r="C11" s="55" t="inlineStr">
        <is>
          <t>Libre</t>
        </is>
      </c>
      <c r="D11" s="54" t="inlineStr">
        <is>
          <t>Holbeach United</t>
        </is>
      </c>
      <c r="E11" s="54" t="inlineStr">
        <is>
          <t>LinkedIn conectar</t>
        </is>
      </c>
      <c r="F11" s="54" t="inlineStr">
        <is>
          <t>Callum Lawe</t>
        </is>
      </c>
      <c r="G11" s="54" t="inlineStr">
        <is>
          <t>(nota de conexión)</t>
        </is>
      </c>
      <c r="H11" s="54" t="inlineStr">
        <is>
          <t>Hi Callum, I'm Joel, I run Always Up. We take youth teams to Spain to train with Atlético de Madrid and Real Sociedad. I emailed you this week and thought I'd connect here too. Joel</t>
        </is>
      </c>
      <c r="I11" s="54" t="inlineStr">
        <is>
          <t>A mano en LinkedIn: perfil de la persona &gt; Conectar &gt; Añadir nota &gt; pegar el texto (máx. 300 caracteres). Si no deja añadir nota, conecta sin nota y manda el texto cuando acepte.</t>
        </is>
      </c>
      <c r="J11" s="54" t="n"/>
      <c r="K11" s="54" t="inlineStr">
        <is>
          <t>Si acepta, no mandes más mensajes hasta que conteste al email.</t>
        </is>
      </c>
    </row>
    <row r="12" ht="62" customHeight="1">
      <c r="A12" s="53" t="n">
        <v>46311</v>
      </c>
      <c r="B12" s="54" t="inlineStr">
        <is>
          <t>Viernes</t>
        </is>
      </c>
      <c r="C12" s="55" t="inlineStr">
        <is>
          <t>Libre</t>
        </is>
      </c>
      <c r="D12" s="54" t="inlineStr">
        <is>
          <t>Søreide IL</t>
        </is>
      </c>
      <c r="E12" s="54" t="inlineStr">
        <is>
          <t>LinkedIn conectar</t>
        </is>
      </c>
      <c r="F12" s="54" t="inlineStr">
        <is>
          <t>Marius Engen</t>
        </is>
      </c>
      <c r="G12" s="54" t="inlineStr">
        <is>
          <t>(nota de conexión)</t>
        </is>
      </c>
      <c r="H12" s="54" t="inlineStr">
        <is>
          <t>Hi Marius, I'm Joel, I run Always Up. We take youth teams to Spain to train with Atlético de Madrid and Real Sociedad. I emailed you this week and thought I'd connect here too. Joel</t>
        </is>
      </c>
      <c r="I12" s="54" t="inlineStr">
        <is>
          <t>A mano en LinkedIn: perfil de la persona &gt; Conectar &gt; Añadir nota &gt; pegar el texto (máx. 300 caracteres). Si no deja añadir nota, conecta sin nota y manda el texto cuando acepte.</t>
        </is>
      </c>
      <c r="J12" s="54" t="n"/>
      <c r="K12" s="54" t="inlineStr">
        <is>
          <t>Si acepta, no mandes más mensajes hasta que conteste al email.</t>
        </is>
      </c>
    </row>
    <row r="13" ht="62" customHeight="1">
      <c r="A13" s="53" t="n">
        <v>46314</v>
      </c>
      <c r="B13" s="54" t="inlineStr">
        <is>
          <t>Lunes</t>
        </is>
      </c>
      <c r="C13" s="55" t="inlineStr">
        <is>
          <t>Libre</t>
        </is>
      </c>
      <c r="D13" s="54" t="inlineStr">
        <is>
          <t>Whitehaven AFC (Juniors Girls U13-U15)</t>
        </is>
      </c>
      <c r="E13" s="54" t="inlineStr">
        <is>
          <t>LinkedIn conectar</t>
        </is>
      </c>
      <c r="F13" s="54" t="inlineStr">
        <is>
          <t>Luke Johnston</t>
        </is>
      </c>
      <c r="G13" s="54" t="inlineStr">
        <is>
          <t>(nota de conexión)</t>
        </is>
      </c>
      <c r="H13" s="54" t="inlineStr">
        <is>
          <t>Hi Luke, I'm Joel, I run Always Up. We take youth teams to Spain to train with Atlético de Madrid and Real Sociedad. I emailed you this week and thought I'd connect here too. Joel</t>
        </is>
      </c>
      <c r="I13" s="54" t="inlineStr">
        <is>
          <t>A mano en LinkedIn: perfil de la persona &gt; Conectar &gt; Añadir nota &gt; pegar el texto (máx. 300 caracteres). Si no deja añadir nota, conecta sin nota y manda el texto cuando acepte.</t>
        </is>
      </c>
      <c r="J13" s="54" t="n"/>
      <c r="K13" s="54" t="inlineStr">
        <is>
          <t>Si acepta, no mandes más mensajes hasta que conteste al email.</t>
        </is>
      </c>
    </row>
    <row r="14" ht="279.5" customHeight="1">
      <c r="A14" s="50" t="n">
        <v>46315</v>
      </c>
      <c r="B14" s="51" t="inlineStr">
        <is>
          <t>Martes</t>
        </is>
      </c>
      <c r="C14" s="52" t="inlineStr">
        <is>
          <t>03:30</t>
        </is>
      </c>
      <c r="D14" s="51" t="inlineStr">
        <is>
          <t>FC Porte d'Aquitaine</t>
        </is>
      </c>
      <c r="E14" s="51" t="inlineStr">
        <is>
          <t>Email 1</t>
        </is>
      </c>
      <c r="F14" s="51" t="inlineStr">
        <is>
          <t>math.bachowski.mb@gmail.com</t>
        </is>
      </c>
      <c r="G14" s="51" t="inlineStr">
        <is>
          <t>Une semaine en Espagne pour les jeunes du FC Porte d'Aquitaine</t>
        </is>
      </c>
      <c r="H14" s="51"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I14"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14" s="51" t="n"/>
      <c r="K14" s="51" t="inlineStr">
        <is>
          <t>Rebota: avísame y busco otra dirección. Contesta: para la cadencia y mira 'Respuestas tipo' abajo.</t>
        </is>
      </c>
    </row>
    <row r="15" ht="250.5" customHeight="1">
      <c r="A15" s="56" t="n">
        <v>46315</v>
      </c>
      <c r="B15" s="57" t="inlineStr">
        <is>
          <t>Martes</t>
        </is>
      </c>
      <c r="C15" s="58" t="inlineStr">
        <is>
          <t>04:30</t>
        </is>
      </c>
      <c r="D15" s="57" t="inlineStr">
        <is>
          <t>Hastings United (Girls Academy)</t>
        </is>
      </c>
      <c r="E15" s="57" t="inlineStr">
        <is>
          <t>Follow-up 1</t>
        </is>
      </c>
      <c r="F15" s="57" t="inlineStr">
        <is>
          <t>georgia.townsend@hastingsunited.com</t>
        </is>
      </c>
      <c r="G15" s="57" t="inlineStr">
        <is>
          <t>Re: Bringing Hastings United's Girls Academy to train with LaLiga clubs in Spain</t>
        </is>
      </c>
      <c r="H15" s="57" t="inlineStr">
        <is>
          <t>Hi Georgia,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5"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15" s="57" t="n"/>
      <c r="K15" s="57" t="inlineStr">
        <is>
          <t>Si ya contestó por otro canal, no lo envíes.</t>
        </is>
      </c>
    </row>
    <row r="16" ht="250.5" customHeight="1">
      <c r="A16" s="56" t="n">
        <v>46315</v>
      </c>
      <c r="B16" s="57" t="inlineStr">
        <is>
          <t>Martes</t>
        </is>
      </c>
      <c r="C16" s="58" t="inlineStr">
        <is>
          <t>04:30</t>
        </is>
      </c>
      <c r="D16" s="57" t="inlineStr">
        <is>
          <t>Home Farm FC (chicas U13-U15)</t>
        </is>
      </c>
      <c r="E16" s="57" t="inlineStr">
        <is>
          <t>Follow-up 1</t>
        </is>
      </c>
      <c r="F16" s="57" t="inlineStr">
        <is>
          <t>homefarmfc@gmail.com</t>
        </is>
      </c>
      <c r="G16" s="57" t="inlineStr">
        <is>
          <t>Re: Bringing Home Farm FC to train with Atlético de Madrid &amp; Real Sociedad in Spain</t>
        </is>
      </c>
      <c r="H16" s="57" t="inlineStr">
        <is>
          <t>Hi all,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6"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16" s="57" t="n"/>
      <c r="K16" s="57" t="inlineStr">
        <is>
          <t>Si ya contestó por otro canal, no lo envíes.</t>
        </is>
      </c>
    </row>
    <row r="17" ht="236" customHeight="1">
      <c r="A17" s="50" t="n">
        <v>46315</v>
      </c>
      <c r="B17" s="51" t="inlineStr">
        <is>
          <t>Martes</t>
        </is>
      </c>
      <c r="C17" s="52" t="inlineStr">
        <is>
          <t>04:30</t>
        </is>
      </c>
      <c r="D17" s="51" t="inlineStr">
        <is>
          <t>Virtu Academy</t>
        </is>
      </c>
      <c r="E17" s="51" t="inlineStr">
        <is>
          <t>Email 1</t>
        </is>
      </c>
      <c r="F17" s="51" t="inlineStr">
        <is>
          <t>info@virtuacademy.co.uk</t>
        </is>
      </c>
      <c r="G17" s="51" t="inlineStr">
        <is>
          <t>A question about trips to Spain for Virtu</t>
        </is>
      </c>
      <c r="H17" s="51"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I17"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17" s="51" t="n"/>
      <c r="K17" s="51" t="inlineStr">
        <is>
          <t>Rebota: avísame y busco otra dirección. Contesta: para la cadencia y mira 'Respuestas tipo' abajo.</t>
        </is>
      </c>
    </row>
    <row r="18" ht="250.5" customHeight="1">
      <c r="A18" s="56" t="n">
        <v>46316</v>
      </c>
      <c r="B18" s="57" t="inlineStr">
        <is>
          <t>Miércoles</t>
        </is>
      </c>
      <c r="C18" s="58" t="inlineStr">
        <is>
          <t>04:30</t>
        </is>
      </c>
      <c r="D18" s="57" t="inlineStr">
        <is>
          <t>Holbeach United</t>
        </is>
      </c>
      <c r="E18" s="57" t="inlineStr">
        <is>
          <t>Follow-up 1</t>
        </is>
      </c>
      <c r="F18" s="57" t="inlineStr">
        <is>
          <t>callum@holbeachunitedacademy.com</t>
        </is>
      </c>
      <c r="G18" s="57" t="inlineStr">
        <is>
          <t>Re: A week in Spain for Holbeach's academy squads</t>
        </is>
      </c>
      <c r="H18" s="57" t="inlineStr">
        <is>
          <t>Hi Callum,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8"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18" s="57" t="n"/>
      <c r="K18" s="57" t="inlineStr">
        <is>
          <t>Si ya contestó por otro canal, no lo envíes.</t>
        </is>
      </c>
    </row>
    <row r="19" ht="250.5" customHeight="1">
      <c r="A19" s="56" t="n">
        <v>46316</v>
      </c>
      <c r="B19" s="57" t="inlineStr">
        <is>
          <t>Miércoles</t>
        </is>
      </c>
      <c r="C19" s="58" t="inlineStr">
        <is>
          <t>03:30</t>
        </is>
      </c>
      <c r="D19" s="57" t="inlineStr">
        <is>
          <t>Søreide IL</t>
        </is>
      </c>
      <c r="E19" s="57" t="inlineStr">
        <is>
          <t>Follow-up 1</t>
        </is>
      </c>
      <c r="F19" s="57" t="inlineStr">
        <is>
          <t>fotball@soreideil.no</t>
        </is>
      </c>
      <c r="G19" s="57" t="inlineStr">
        <is>
          <t>Re: A week in Spain for Søreide's youth teams</t>
        </is>
      </c>
      <c r="H19" s="57" t="inlineStr">
        <is>
          <t>Hi Marius and Gunn,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9"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19" s="57" t="n"/>
      <c r="K19" s="57" t="inlineStr">
        <is>
          <t>Si ya contestó por otro canal, no lo envíes.</t>
        </is>
      </c>
    </row>
    <row r="20" ht="221.5" customHeight="1">
      <c r="A20" s="56" t="n">
        <v>46317</v>
      </c>
      <c r="B20" s="57" t="inlineStr">
        <is>
          <t>Jueves</t>
        </is>
      </c>
      <c r="C20" s="58" t="inlineStr">
        <is>
          <t>05:30</t>
        </is>
      </c>
      <c r="D20" s="57" t="inlineStr">
        <is>
          <t>IA Akranes</t>
        </is>
      </c>
      <c r="E20" s="57" t="inlineStr">
        <is>
          <t>Follow-up 1</t>
        </is>
      </c>
      <c r="F20" s="57" t="inlineStr">
        <is>
          <t>kfia@ia.is</t>
        </is>
      </c>
      <c r="G20" s="57" t="inlineStr">
        <is>
          <t>Re: A question about youth trips to Spain</t>
        </is>
      </c>
      <c r="H20" s="57" t="inlineStr">
        <is>
          <t>Hi ÍA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0"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0" s="57" t="n"/>
      <c r="K20" s="57" t="inlineStr">
        <is>
          <t>Si ya contestó por otro canal, no lo envíes.</t>
        </is>
      </c>
    </row>
    <row r="21" ht="221.5" customHeight="1">
      <c r="A21" s="56" t="n">
        <v>46317</v>
      </c>
      <c r="B21" s="57" t="inlineStr">
        <is>
          <t>Jueves</t>
        </is>
      </c>
      <c r="C21" s="58" t="inlineStr">
        <is>
          <t>04:30</t>
        </is>
      </c>
      <c r="D21" s="57" t="inlineStr">
        <is>
          <t>Maidstone United (Girls Development Centre)</t>
        </is>
      </c>
      <c r="E21" s="57" t="inlineStr">
        <is>
          <t>Follow-up 1</t>
        </is>
      </c>
      <c r="F21" s="57" t="inlineStr">
        <is>
          <t>info@maidstoneunited.co.uk</t>
        </is>
      </c>
      <c r="G21" s="57" t="inlineStr">
        <is>
          <t>Re: A question about the Girls Development Centre</t>
        </is>
      </c>
      <c r="H21" s="57"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1"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1" s="57" t="n"/>
      <c r="K21" s="57" t="inlineStr">
        <is>
          <t>Si ya contestó por otro canal, no lo envíes.</t>
        </is>
      </c>
    </row>
    <row r="22" ht="250.5" customHeight="1">
      <c r="A22" s="56" t="n">
        <v>46317</v>
      </c>
      <c r="B22" s="57" t="inlineStr">
        <is>
          <t>Jueves</t>
        </is>
      </c>
      <c r="C22" s="58" t="inlineStr">
        <is>
          <t>04:30</t>
        </is>
      </c>
      <c r="D22" s="57" t="inlineStr">
        <is>
          <t>Whitehaven AFC (Juniors Girls U13-U15)</t>
        </is>
      </c>
      <c r="E22" s="57" t="inlineStr">
        <is>
          <t>Follow-up 1</t>
        </is>
      </c>
      <c r="F22" s="57" t="inlineStr">
        <is>
          <t>Luke.johnston@whitehavenafc.com</t>
        </is>
      </c>
      <c r="G22" s="57" t="inlineStr">
        <is>
          <t>Re: A week in Spain for Whitehaven's girls teams</t>
        </is>
      </c>
      <c r="H22" s="57" t="inlineStr">
        <is>
          <t>Hi Luke,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2"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2" s="57" t="n"/>
      <c r="K22" s="57" t="inlineStr">
        <is>
          <t>Si ya contestó por otro canal, no lo envíes.</t>
        </is>
      </c>
    </row>
    <row r="23" ht="279.5" customHeight="1">
      <c r="A23" s="56" t="n">
        <v>46322</v>
      </c>
      <c r="B23" s="57" t="inlineStr">
        <is>
          <t>Martes</t>
        </is>
      </c>
      <c r="C23" s="58" t="inlineStr">
        <is>
          <t>04:30</t>
        </is>
      </c>
      <c r="D23" s="57" t="inlineStr">
        <is>
          <t>FC Porte d'Aquitaine</t>
        </is>
      </c>
      <c r="E23" s="57" t="inlineStr">
        <is>
          <t>Follow-up 1</t>
        </is>
      </c>
      <c r="F23" s="57" t="inlineStr">
        <is>
          <t>math.bachowski.mb@gmail.com</t>
        </is>
      </c>
      <c r="G23" s="57" t="inlineStr">
        <is>
          <t>Re: Une semaine en Espagne pour les jeunes du FC Porte d'Aquitaine</t>
        </is>
      </c>
      <c r="H23" s="57" t="inlineStr">
        <is>
          <t>Bonjour Mathieu,
Je me permets de revenir vers vous au cas où mon message de la semaine dernière se serait perdu.
Pour vous donner une idée, une semaine type dure cinq jours à Madrid : séances d'entraînement, matchs contre des équipes de centres de formation locaux, visite du Metropolitano et de son musée, hébergement et repas pris en charge par nos soins.
Si vous pensez à Pâques ou à l'été 2027, c'est le bon moment pour regarder les dates.
Je suis disponible pour un court appel, ou je peux vous envoyer les détails par email si c'est plus simple.
Cordialement,
Joel Martinez
Founder, Always Up
joel.martinez@alwaysup.es | +1 (814) 329 1929 | alwaysup.es</t>
        </is>
      </c>
      <c r="I23"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3" s="57" t="n"/>
      <c r="K23" s="57" t="inlineStr">
        <is>
          <t>Si ya contestó por otro canal, no lo envíes.</t>
        </is>
      </c>
    </row>
    <row r="24" ht="178" customHeight="1">
      <c r="A24" s="59" t="n">
        <v>46322</v>
      </c>
      <c r="B24" s="60" t="inlineStr">
        <is>
          <t>Martes</t>
        </is>
      </c>
      <c r="C24" s="61" t="inlineStr">
        <is>
          <t>05:30</t>
        </is>
      </c>
      <c r="D24" s="60" t="inlineStr">
        <is>
          <t>Hastings United (Girls Academy)</t>
        </is>
      </c>
      <c r="E24" s="60" t="inlineStr">
        <is>
          <t>Follow-up 2</t>
        </is>
      </c>
      <c r="F24" s="60" t="inlineStr">
        <is>
          <t>georgia.townsend@hastingsunited.com</t>
        </is>
      </c>
      <c r="G24" s="60" t="inlineStr">
        <is>
          <t>Re: Bringing Hastings United's Girls Academy to train with LaLiga clubs in Spain</t>
        </is>
      </c>
      <c r="H24" s="60" t="inlineStr">
        <is>
          <t>Hi Georgia,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4"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4" s="60" t="n"/>
      <c r="K24" s="60" t="inlineStr">
        <is>
          <t>Si contestó, no lo envíes.</t>
        </is>
      </c>
    </row>
    <row r="25" ht="178" customHeight="1">
      <c r="A25" s="59" t="n">
        <v>46322</v>
      </c>
      <c r="B25" s="60" t="inlineStr">
        <is>
          <t>Martes</t>
        </is>
      </c>
      <c r="C25" s="61" t="inlineStr">
        <is>
          <t>05:30</t>
        </is>
      </c>
      <c r="D25" s="60" t="inlineStr">
        <is>
          <t>Home Farm FC (chicas U13-U15)</t>
        </is>
      </c>
      <c r="E25" s="60" t="inlineStr">
        <is>
          <t>Follow-up 2</t>
        </is>
      </c>
      <c r="F25" s="60" t="inlineStr">
        <is>
          <t>homefarmfc@gmail.com</t>
        </is>
      </c>
      <c r="G25" s="60" t="inlineStr">
        <is>
          <t>Re: Bringing Home Farm FC to train with Atlético de Madrid &amp; Real Sociedad in Spain</t>
        </is>
      </c>
      <c r="H25" s="60" t="inlineStr">
        <is>
          <t>Hi all,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5"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5" s="60" t="n"/>
      <c r="K25" s="60" t="inlineStr">
        <is>
          <t>Si contestó, no lo envíes.</t>
        </is>
      </c>
    </row>
    <row r="26" ht="221.5" customHeight="1">
      <c r="A26" s="56" t="n">
        <v>46322</v>
      </c>
      <c r="B26" s="57" t="inlineStr">
        <is>
          <t>Martes</t>
        </is>
      </c>
      <c r="C26" s="58" t="inlineStr">
        <is>
          <t>05:30</t>
        </is>
      </c>
      <c r="D26" s="57" t="inlineStr">
        <is>
          <t>Virtu Academy</t>
        </is>
      </c>
      <c r="E26" s="57" t="inlineStr">
        <is>
          <t>Follow-up 1</t>
        </is>
      </c>
      <c r="F26" s="57" t="inlineStr">
        <is>
          <t>info@virtuacademy.co.uk</t>
        </is>
      </c>
      <c r="G26" s="57" t="inlineStr">
        <is>
          <t>Re: A question about trips to Spain for Virtu</t>
        </is>
      </c>
      <c r="H26" s="57"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6"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6" s="57" t="n"/>
      <c r="K26" s="57" t="inlineStr">
        <is>
          <t>Si ya contestó por otro canal, no lo envíes.</t>
        </is>
      </c>
    </row>
    <row r="27" ht="60" customHeight="1">
      <c r="A27" s="53" t="n">
        <v>46323</v>
      </c>
      <c r="B27" s="54" t="inlineStr">
        <is>
          <t>Miércoles</t>
        </is>
      </c>
      <c r="C27" s="55" t="inlineStr">
        <is>
          <t>Libre</t>
        </is>
      </c>
      <c r="D27" s="54" t="inlineStr">
        <is>
          <t>Hastings United (Girls Academy)</t>
        </is>
      </c>
      <c r="E27" s="54" t="inlineStr">
        <is>
          <t>DM en redes</t>
        </is>
      </c>
      <c r="F27" s="54" t="inlineStr">
        <is>
          <t>Instagram de Hastings United</t>
        </is>
      </c>
      <c r="G27" s="54" t="inlineStr">
        <is>
          <t>(mensaje directo)</t>
        </is>
      </c>
      <c r="H27" s="54" t="inlineStr">
        <is>
          <t>Hi! I'm Joel from Always Up. We take youth teams to Spain for training weeks (Atlético de Madrid, Real Sociedad). I emailed the club recently. Who would be the best person to speak to about trips for your youth teams?</t>
        </is>
      </c>
      <c r="I27" s="54" t="inlineStr">
        <is>
          <t>A mano desde la cuenta de la red indicada. Solo si no ha contestado al follow-up 2. Sin enlaces.</t>
        </is>
      </c>
      <c r="J27" s="54" t="n"/>
      <c r="K27" s="54" t="inlineStr">
        <is>
          <t>Solo si no hay respuesta a nada.</t>
        </is>
      </c>
    </row>
    <row r="28" ht="178" customHeight="1">
      <c r="A28" s="59" t="n">
        <v>46323</v>
      </c>
      <c r="B28" s="60" t="inlineStr">
        <is>
          <t>Miércoles</t>
        </is>
      </c>
      <c r="C28" s="61" t="inlineStr">
        <is>
          <t>05:30</t>
        </is>
      </c>
      <c r="D28" s="60" t="inlineStr">
        <is>
          <t>Holbeach United</t>
        </is>
      </c>
      <c r="E28" s="60" t="inlineStr">
        <is>
          <t>Follow-up 2</t>
        </is>
      </c>
      <c r="F28" s="60" t="inlineStr">
        <is>
          <t>callum@holbeachunitedacademy.com</t>
        </is>
      </c>
      <c r="G28" s="60" t="inlineStr">
        <is>
          <t>Re: A week in Spain for Holbeach's academy squads</t>
        </is>
      </c>
      <c r="H28" s="60" t="inlineStr">
        <is>
          <t>Hi Callum,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8"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8" s="60" t="n"/>
      <c r="K28" s="60" t="inlineStr">
        <is>
          <t>Si contestó, no lo envíes.</t>
        </is>
      </c>
    </row>
    <row r="29" ht="60" customHeight="1">
      <c r="A29" s="53" t="n">
        <v>46323</v>
      </c>
      <c r="B29" s="54" t="inlineStr">
        <is>
          <t>Miércoles</t>
        </is>
      </c>
      <c r="C29" s="55" t="inlineStr">
        <is>
          <t>Libre</t>
        </is>
      </c>
      <c r="D29" s="54" t="inlineStr">
        <is>
          <t>Home Farm FC (chicas U13-U15)</t>
        </is>
      </c>
      <c r="E29" s="54" t="inlineStr">
        <is>
          <t>DM en redes</t>
        </is>
      </c>
      <c r="F29" s="54" t="inlineStr">
        <is>
          <t>Facebook o Instagram de Home Farm FC</t>
        </is>
      </c>
      <c r="G29" s="54" t="inlineStr">
        <is>
          <t>(mensaje directo)</t>
        </is>
      </c>
      <c r="H29" s="54" t="inlineStr">
        <is>
          <t>Hi! I'm Joel from Always Up. We take youth teams to Spain for training weeks (Atlético de Madrid, Real Sociedad). I emailed the club recently. Who would be the best person to speak to about trips for your youth teams?</t>
        </is>
      </c>
      <c r="I29" s="54" t="inlineStr">
        <is>
          <t>A mano desde la cuenta de la red indicada. Solo si no ha contestado al follow-up 2. Sin enlaces.</t>
        </is>
      </c>
      <c r="J29" s="54" t="n"/>
      <c r="K29" s="54" t="inlineStr">
        <is>
          <t>Solo si no hay respuesta a nada.</t>
        </is>
      </c>
    </row>
    <row r="30" ht="178" customHeight="1">
      <c r="A30" s="59" t="n">
        <v>46323</v>
      </c>
      <c r="B30" s="60" t="inlineStr">
        <is>
          <t>Miércoles</t>
        </is>
      </c>
      <c r="C30" s="61" t="inlineStr">
        <is>
          <t>04:30</t>
        </is>
      </c>
      <c r="D30" s="60" t="inlineStr">
        <is>
          <t>Søreide IL</t>
        </is>
      </c>
      <c r="E30" s="60" t="inlineStr">
        <is>
          <t>Follow-up 2</t>
        </is>
      </c>
      <c r="F30" s="60" t="inlineStr">
        <is>
          <t>fotball@soreideil.no</t>
        </is>
      </c>
      <c r="G30" s="60" t="inlineStr">
        <is>
          <t>Re: A week in Spain for Søreide's youth teams</t>
        </is>
      </c>
      <c r="H30" s="60" t="inlineStr">
        <is>
          <t>Hi Marius and Gunn,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0"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30" s="60" t="n"/>
      <c r="K30" s="60" t="inlineStr">
        <is>
          <t>Si contestó, no lo envíes.</t>
        </is>
      </c>
    </row>
    <row r="31" ht="60" customHeight="1">
      <c r="A31" s="53" t="n">
        <v>46324</v>
      </c>
      <c r="B31" s="54" t="inlineStr">
        <is>
          <t>Jueves</t>
        </is>
      </c>
      <c r="C31" s="55" t="inlineStr">
        <is>
          <t>Libre</t>
        </is>
      </c>
      <c r="D31" s="54" t="inlineStr">
        <is>
          <t>Holbeach United</t>
        </is>
      </c>
      <c r="E31" s="54" t="inlineStr">
        <is>
          <t>DM en redes</t>
        </is>
      </c>
      <c r="F31" s="54" t="inlineStr">
        <is>
          <t>Instagram @holbeachunitedcsa</t>
        </is>
      </c>
      <c r="G31" s="54" t="inlineStr">
        <is>
          <t>(mensaje directo)</t>
        </is>
      </c>
      <c r="H31" s="54" t="inlineStr">
        <is>
          <t>Hi! I'm Joel from Always Up. We take youth teams to Spain for training weeks (Atlético de Madrid, Real Sociedad). I emailed the club recently. Who would be the best person to speak to about trips for your youth teams?</t>
        </is>
      </c>
      <c r="I31" s="54" t="inlineStr">
        <is>
          <t>A mano desde la cuenta de la red indicada. Solo si no ha contestado al follow-up 2. Sin enlaces.</t>
        </is>
      </c>
      <c r="J31" s="54" t="n"/>
      <c r="K31" s="54" t="inlineStr">
        <is>
          <t>Solo si no hay respuesta a nada.</t>
        </is>
      </c>
    </row>
    <row r="32" ht="178" customHeight="1">
      <c r="A32" s="59" t="n">
        <v>46324</v>
      </c>
      <c r="B32" s="60" t="inlineStr">
        <is>
          <t>Jueves</t>
        </is>
      </c>
      <c r="C32" s="61" t="inlineStr">
        <is>
          <t>05:30</t>
        </is>
      </c>
      <c r="D32" s="60" t="inlineStr">
        <is>
          <t>IA Akranes</t>
        </is>
      </c>
      <c r="E32" s="60" t="inlineStr">
        <is>
          <t>Follow-up 2</t>
        </is>
      </c>
      <c r="F32" s="60" t="inlineStr">
        <is>
          <t>kfia@ia.is</t>
        </is>
      </c>
      <c r="G32" s="60" t="inlineStr">
        <is>
          <t>Re: A question about youth trips to Spain</t>
        </is>
      </c>
      <c r="H32" s="60" t="inlineStr">
        <is>
          <t>Hi ÍA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2"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32" s="60" t="n"/>
      <c r="K32" s="60" t="inlineStr">
        <is>
          <t>Si contestó, no lo envíes.</t>
        </is>
      </c>
    </row>
    <row r="33" ht="178" customHeight="1">
      <c r="A33" s="59" t="n">
        <v>46324</v>
      </c>
      <c r="B33" s="60" t="inlineStr">
        <is>
          <t>Jueves</t>
        </is>
      </c>
      <c r="C33" s="61" t="inlineStr">
        <is>
          <t>05:30</t>
        </is>
      </c>
      <c r="D33" s="60" t="inlineStr">
        <is>
          <t>Maidstone United (Girls Development Centre)</t>
        </is>
      </c>
      <c r="E33" s="60" t="inlineStr">
        <is>
          <t>Follow-up 2</t>
        </is>
      </c>
      <c r="F33" s="60" t="inlineStr">
        <is>
          <t>info@maidstoneunited.co.uk</t>
        </is>
      </c>
      <c r="G33" s="60" t="inlineStr">
        <is>
          <t>Re: A question about the Girls Development Centre</t>
        </is>
      </c>
      <c r="H33" s="60"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3"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33" s="60" t="n"/>
      <c r="K33" s="60" t="inlineStr">
        <is>
          <t>Si contestó, no lo envíes.</t>
        </is>
      </c>
    </row>
    <row r="34" ht="60" customHeight="1">
      <c r="A34" s="53" t="n">
        <v>46324</v>
      </c>
      <c r="B34" s="54" t="inlineStr">
        <is>
          <t>Jueves</t>
        </is>
      </c>
      <c r="C34" s="55" t="inlineStr">
        <is>
          <t>Libre</t>
        </is>
      </c>
      <c r="D34" s="54" t="inlineStr">
        <is>
          <t>Søreide IL</t>
        </is>
      </c>
      <c r="E34" s="54" t="inlineStr">
        <is>
          <t>DM en redes</t>
        </is>
      </c>
      <c r="F34" s="54" t="inlineStr">
        <is>
          <t>Facebook o Instagram de Søreide IL</t>
        </is>
      </c>
      <c r="G34" s="54" t="inlineStr">
        <is>
          <t>(mensaje directo)</t>
        </is>
      </c>
      <c r="H34" s="54" t="inlineStr">
        <is>
          <t>Hi! I'm Joel from Always Up. We take youth teams to Spain for training weeks (Atlético de Madrid, Real Sociedad). I emailed the club recently. Who would be the best person to speak to about trips for your youth teams?</t>
        </is>
      </c>
      <c r="I34" s="54" t="inlineStr">
        <is>
          <t>A mano desde la cuenta de la red indicada. Solo si no ha contestado al follow-up 2. Sin enlaces.</t>
        </is>
      </c>
      <c r="J34" s="54" t="n"/>
      <c r="K34" s="54" t="inlineStr">
        <is>
          <t>Solo si no hay respuesta a nada.</t>
        </is>
      </c>
    </row>
    <row r="35" ht="178" customHeight="1">
      <c r="A35" s="59" t="n">
        <v>46324</v>
      </c>
      <c r="B35" s="60" t="inlineStr">
        <is>
          <t>Jueves</t>
        </is>
      </c>
      <c r="C35" s="61" t="inlineStr">
        <is>
          <t>05:30</t>
        </is>
      </c>
      <c r="D35" s="60" t="inlineStr">
        <is>
          <t>Whitehaven AFC (Juniors Girls U13-U15)</t>
        </is>
      </c>
      <c r="E35" s="60" t="inlineStr">
        <is>
          <t>Follow-up 2</t>
        </is>
      </c>
      <c r="F35" s="60" t="inlineStr">
        <is>
          <t>Luke.johnston@whitehavenafc.com</t>
        </is>
      </c>
      <c r="G35" s="60" t="inlineStr">
        <is>
          <t>Re: A week in Spain for Whitehaven's girls teams</t>
        </is>
      </c>
      <c r="H35" s="60" t="inlineStr">
        <is>
          <t>Hi Luke,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5"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35" s="60" t="n"/>
      <c r="K35" s="60" t="inlineStr">
        <is>
          <t>Si contestó, no lo envíes.</t>
        </is>
      </c>
    </row>
    <row r="36" ht="60" customHeight="1">
      <c r="A36" s="53" t="n">
        <v>46325</v>
      </c>
      <c r="B36" s="54" t="inlineStr">
        <is>
          <t>Viernes</t>
        </is>
      </c>
      <c r="C36" s="55" t="inlineStr">
        <is>
          <t>Libre</t>
        </is>
      </c>
      <c r="D36" s="54" t="inlineStr">
        <is>
          <t>IA Akranes</t>
        </is>
      </c>
      <c r="E36" s="54" t="inlineStr">
        <is>
          <t>DM en redes</t>
        </is>
      </c>
      <c r="F36" s="54" t="inlineStr">
        <is>
          <t>Facebook o Instagram de ÍA Akranes</t>
        </is>
      </c>
      <c r="G36" s="54" t="inlineStr">
        <is>
          <t>(mensaje directo)</t>
        </is>
      </c>
      <c r="H36" s="54" t="inlineStr">
        <is>
          <t>Hi! I'm Joel from Always Up. We take youth teams to Spain for training weeks (Atlético de Madrid, Real Sociedad). I emailed the club recently. Who would be the best person to speak to about trips for your youth teams?</t>
        </is>
      </c>
      <c r="I36" s="54" t="inlineStr">
        <is>
          <t>A mano desde la cuenta de la red indicada. Solo si no ha contestado al follow-up 2. Sin enlaces.</t>
        </is>
      </c>
      <c r="J36" s="54" t="n"/>
      <c r="K36" s="54" t="inlineStr">
        <is>
          <t>Solo si no hay respuesta a nada.</t>
        </is>
      </c>
    </row>
    <row r="37" ht="60" customHeight="1">
      <c r="A37" s="53" t="n">
        <v>46325</v>
      </c>
      <c r="B37" s="54" t="inlineStr">
        <is>
          <t>Viernes</t>
        </is>
      </c>
      <c r="C37" s="55" t="inlineStr">
        <is>
          <t>Libre</t>
        </is>
      </c>
      <c r="D37" s="54" t="inlineStr">
        <is>
          <t>Maidstone United (Girls Development Centre)</t>
        </is>
      </c>
      <c r="E37" s="54" t="inlineStr">
        <is>
          <t>DM en redes</t>
        </is>
      </c>
      <c r="F37" s="54" t="inlineStr">
        <is>
          <t>Facebook o Instagram de Maidstone United</t>
        </is>
      </c>
      <c r="G37" s="54" t="inlineStr">
        <is>
          <t>(mensaje directo)</t>
        </is>
      </c>
      <c r="H37" s="54" t="inlineStr">
        <is>
          <t>Hi! I'm Joel from Always Up. We take youth teams to Spain for training weeks (Atlético de Madrid, Real Sociedad). I emailed the club recently. Who would be the best person to speak to about trips for your youth teams?</t>
        </is>
      </c>
      <c r="I37" s="54" t="inlineStr">
        <is>
          <t>A mano desde la cuenta de la red indicada. Solo si no ha contestado al follow-up 2. Sin enlaces.</t>
        </is>
      </c>
      <c r="J37" s="54" t="n"/>
      <c r="K37" s="54" t="inlineStr">
        <is>
          <t>Solo si no hay respuesta a nada.</t>
        </is>
      </c>
    </row>
    <row r="38" ht="60" customHeight="1">
      <c r="A38" s="53" t="n">
        <v>46325</v>
      </c>
      <c r="B38" s="54" t="inlineStr">
        <is>
          <t>Viernes</t>
        </is>
      </c>
      <c r="C38" s="55" t="inlineStr">
        <is>
          <t>Libre</t>
        </is>
      </c>
      <c r="D38" s="54" t="inlineStr">
        <is>
          <t>Whitehaven AFC (Juniors Girls U13-U15)</t>
        </is>
      </c>
      <c r="E38" s="54" t="inlineStr">
        <is>
          <t>DM en redes</t>
        </is>
      </c>
      <c r="F38" s="54" t="inlineStr">
        <is>
          <t>Facebook de Whitehaven AFC (plan B si el email rebota)</t>
        </is>
      </c>
      <c r="G38" s="54" t="inlineStr">
        <is>
          <t>(mensaje directo)</t>
        </is>
      </c>
      <c r="H38" s="54" t="inlineStr">
        <is>
          <t>Hi! I'm Joel from Always Up. We take youth teams to Spain for training weeks (Atlético de Madrid, Real Sociedad). I emailed the club recently. Who would be the best person to speak to about trips for your youth teams?</t>
        </is>
      </c>
      <c r="I38" s="54" t="inlineStr">
        <is>
          <t>A mano desde la cuenta de la red indicada. Solo si no ha contestado al follow-up 2. Sin enlaces.</t>
        </is>
      </c>
      <c r="J38" s="54" t="n"/>
      <c r="K38" s="54" t="inlineStr">
        <is>
          <t>Solo si no hay respuesta a nada.</t>
        </is>
      </c>
    </row>
    <row r="39" ht="207" customHeight="1">
      <c r="A39" s="59" t="n">
        <v>46329</v>
      </c>
      <c r="B39" s="60" t="inlineStr">
        <is>
          <t>Martes</t>
        </is>
      </c>
      <c r="C39" s="61" t="inlineStr">
        <is>
          <t>03:30</t>
        </is>
      </c>
      <c r="D39" s="60" t="inlineStr">
        <is>
          <t>FC Porte d'Aquitaine</t>
        </is>
      </c>
      <c r="E39" s="60" t="inlineStr">
        <is>
          <t>Follow-up 2</t>
        </is>
      </c>
      <c r="F39" s="60" t="inlineStr">
        <is>
          <t>math.bachowski.mb@gmail.com</t>
        </is>
      </c>
      <c r="G39" s="60" t="inlineStr">
        <is>
          <t>Re: Une semaine en Espagne pour les jeunes du FC Porte d'Aquitaine</t>
        </is>
      </c>
      <c r="H39" s="60" t="inlineStr">
        <is>
          <t>Bonjour Mathieu,
Je serai bref. Beaucoup de clubs ne savent pas au début si un voyage comme celui-ci est réaliste pour leurs familles et leur calendrier, et c'est tout à fait normal.
Un appel de 15 minutes suffit généralement pour voir si cela a du sens, sans engagement. Et si ce n'est pas le bon moment, dites-le-moi et je reviendrai vers vous en début d'année.
Cordialement,
Joel Martinez
Founder, Always Up
joel.martinez@alwaysup.es | +1 (814) 329 1929 | alwaysup.es</t>
        </is>
      </c>
      <c r="I39"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39" s="60" t="n"/>
      <c r="K39" s="60" t="inlineStr">
        <is>
          <t>Si contestó, no lo envíes.</t>
        </is>
      </c>
    </row>
    <row r="40" ht="192.5" customHeight="1">
      <c r="A40" s="62" t="n">
        <v>46329</v>
      </c>
      <c r="B40" s="63" t="inlineStr">
        <is>
          <t>Martes</t>
        </is>
      </c>
      <c r="C40" s="64" t="inlineStr">
        <is>
          <t>04:30</t>
        </is>
      </c>
      <c r="D40" s="63" t="inlineStr">
        <is>
          <t>Hastings United (Girls Academy)</t>
        </is>
      </c>
      <c r="E40" s="63" t="inlineStr">
        <is>
          <t>Cierre</t>
        </is>
      </c>
      <c r="F40" s="63" t="inlineStr">
        <is>
          <t>georgia.townsend@hastingsunited.com</t>
        </is>
      </c>
      <c r="G40" s="63" t="inlineStr">
        <is>
          <t>Re: Bringing Hastings United's Girls Academy to train with LaLiga clubs in Spain</t>
        </is>
      </c>
      <c r="H40" s="63" t="inlineStr">
        <is>
          <t>Hi Georgia,
I haven't heard back, so I'll assume the timing isn't right and I won't keep emailing.
If anything changes, or you'd like the details for later, just reply here.
Wishing Hastings United a great season.
Best,
Joel Martinez
Founder, Always Up
joel.martinez@alwaysup.es | +1 (814) 329 1929 | alwaysup.es</t>
        </is>
      </c>
      <c r="I40"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0" s="63" t="n"/>
      <c r="K40" s="63" t="inlineStr">
        <is>
          <t>Tras este correo, pasa el club a 'Retomar en enero 2027' en el CRM.</t>
        </is>
      </c>
    </row>
    <row r="41" ht="192.5" customHeight="1">
      <c r="A41" s="62" t="n">
        <v>46329</v>
      </c>
      <c r="B41" s="63" t="inlineStr">
        <is>
          <t>Martes</t>
        </is>
      </c>
      <c r="C41" s="64" t="inlineStr">
        <is>
          <t>04:30</t>
        </is>
      </c>
      <c r="D41" s="63" t="inlineStr">
        <is>
          <t>Home Farm FC (chicas U13-U15)</t>
        </is>
      </c>
      <c r="E41" s="63" t="inlineStr">
        <is>
          <t>Cierre</t>
        </is>
      </c>
      <c r="F41" s="63" t="inlineStr">
        <is>
          <t>homefarmfc@gmail.com</t>
        </is>
      </c>
      <c r="G41" s="63" t="inlineStr">
        <is>
          <t>Re: Bringing Home Farm FC to train with Atlético de Madrid &amp; Real Sociedad in Spain</t>
        </is>
      </c>
      <c r="H41" s="63" t="inlineStr">
        <is>
          <t>Hi all,
I haven't heard back, so I'll assume the timing isn't right and I won't keep emailing.
If anything changes, or you'd like the details for later, just reply here.
Wishing Home Farm FC a great season.
Best,
Joel Martinez
Founder, Always Up
joel.martinez@alwaysup.es | +1 (814) 329 1929 | alwaysup.es</t>
        </is>
      </c>
      <c r="I41"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1" s="63" t="n"/>
      <c r="K41" s="63" t="inlineStr">
        <is>
          <t>Tras este correo, pasa el club a 'Retomar en enero 2027' en el CRM.</t>
        </is>
      </c>
    </row>
    <row r="42" ht="178" customHeight="1">
      <c r="A42" s="59" t="n">
        <v>46329</v>
      </c>
      <c r="B42" s="60" t="inlineStr">
        <is>
          <t>Martes</t>
        </is>
      </c>
      <c r="C42" s="61" t="inlineStr">
        <is>
          <t>04:30</t>
        </is>
      </c>
      <c r="D42" s="60" t="inlineStr">
        <is>
          <t>Virtu Academy</t>
        </is>
      </c>
      <c r="E42" s="60" t="inlineStr">
        <is>
          <t>Follow-up 2</t>
        </is>
      </c>
      <c r="F42" s="60" t="inlineStr">
        <is>
          <t>info@virtuacademy.co.uk</t>
        </is>
      </c>
      <c r="G42" s="60" t="inlineStr">
        <is>
          <t>Re: A question about trips to Spain for Virtu</t>
        </is>
      </c>
      <c r="H42" s="60"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2"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2" s="60" t="n"/>
      <c r="K42" s="60" t="inlineStr">
        <is>
          <t>Si contestó, no lo envíes.</t>
        </is>
      </c>
    </row>
    <row r="43" ht="62" customHeight="1">
      <c r="A43" s="53" t="n">
        <v>46330</v>
      </c>
      <c r="B43" s="54" t="inlineStr">
        <is>
          <t>Miércoles</t>
        </is>
      </c>
      <c r="C43" s="55" t="inlineStr">
        <is>
          <t>Libre</t>
        </is>
      </c>
      <c r="D43" s="54" t="inlineStr">
        <is>
          <t>FC Porte d'Aquitaine</t>
        </is>
      </c>
      <c r="E43" s="54" t="inlineStr">
        <is>
          <t>DM en redes</t>
        </is>
      </c>
      <c r="F43" s="54" t="inlineStr">
        <is>
          <t>Facebook du FC Porte d'Aquitaine</t>
        </is>
      </c>
      <c r="G43" s="54" t="inlineStr">
        <is>
          <t>(mensaje directo)</t>
        </is>
      </c>
      <c r="H43" s="54" t="inlineStr">
        <is>
          <t>Bonjour ! Je suis Joel d'Always Up. Nous emmenons des équipes de jeunes en Espagne pour des semaines d'entraînement (Atlético de Madrid, Real Sociedad). J'ai écrit au club récemment. Qui serait la bonne personne pour parler des déplacements des équipes de jeunes ?</t>
        </is>
      </c>
      <c r="I43" s="54" t="inlineStr">
        <is>
          <t>A mano desde la cuenta de la red indicada. Solo si no ha contestado al follow-up 2. Sin enlaces.</t>
        </is>
      </c>
      <c r="J43" s="54" t="n"/>
      <c r="K43" s="54" t="inlineStr">
        <is>
          <t>Solo si no hay respuesta a nada.</t>
        </is>
      </c>
    </row>
    <row r="44" ht="192.5" customHeight="1">
      <c r="A44" s="62" t="n">
        <v>46330</v>
      </c>
      <c r="B44" s="63" t="inlineStr">
        <is>
          <t>Miércoles</t>
        </is>
      </c>
      <c r="C44" s="64" t="inlineStr">
        <is>
          <t>04:30</t>
        </is>
      </c>
      <c r="D44" s="63" t="inlineStr">
        <is>
          <t>Holbeach United</t>
        </is>
      </c>
      <c r="E44" s="63" t="inlineStr">
        <is>
          <t>Cierre</t>
        </is>
      </c>
      <c r="F44" s="63" t="inlineStr">
        <is>
          <t>callum@holbeachunitedacademy.com</t>
        </is>
      </c>
      <c r="G44" s="63" t="inlineStr">
        <is>
          <t>Re: A week in Spain for Holbeach's academy squads</t>
        </is>
      </c>
      <c r="H44" s="63" t="inlineStr">
        <is>
          <t>Hi Callum,
I haven't heard back, so I'll assume the timing isn't right and I won't keep emailing.
If anything changes, or you'd like the details for later, just reply here.
Wishing Holbeach United a great season.
Best,
Joel Martinez
Founder, Always Up
joel.martinez@alwaysup.es | +1 (814) 329 1929 | alwaysup.es</t>
        </is>
      </c>
      <c r="I44"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4" s="63" t="n"/>
      <c r="K44" s="63" t="inlineStr">
        <is>
          <t>Tras este correo, pasa el club a 'Retomar en enero 2027' en el CRM.</t>
        </is>
      </c>
    </row>
    <row r="45" ht="192.5" customHeight="1">
      <c r="A45" s="62" t="n">
        <v>46330</v>
      </c>
      <c r="B45" s="63" t="inlineStr">
        <is>
          <t>Miércoles</t>
        </is>
      </c>
      <c r="C45" s="64" t="inlineStr">
        <is>
          <t>03:30</t>
        </is>
      </c>
      <c r="D45" s="63" t="inlineStr">
        <is>
          <t>Søreide IL</t>
        </is>
      </c>
      <c r="E45" s="63" t="inlineStr">
        <is>
          <t>Cierre</t>
        </is>
      </c>
      <c r="F45" s="63" t="inlineStr">
        <is>
          <t>fotball@soreideil.no</t>
        </is>
      </c>
      <c r="G45" s="63" t="inlineStr">
        <is>
          <t>Re: A week in Spain for Søreide's youth teams</t>
        </is>
      </c>
      <c r="H45" s="63" t="inlineStr">
        <is>
          <t>Hi Marius and Gunn,
I haven't heard back, so I'll assume the timing isn't right and I won't keep emailing.
If anything changes, or you'd like the details for later, just reply here.
Wishing Søreide IL a great season.
Best,
Joel Martinez
Founder, Always Up
joel.martinez@alwaysup.es | +1 (814) 329 1929 | alwaysup.es</t>
        </is>
      </c>
      <c r="I45"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5" s="63" t="n"/>
      <c r="K45" s="63" t="inlineStr">
        <is>
          <t>Tras este correo, pasa el club a 'Retomar en enero 2027' en el CRM.</t>
        </is>
      </c>
    </row>
    <row r="46" ht="60" customHeight="1">
      <c r="A46" s="53" t="n">
        <v>46330</v>
      </c>
      <c r="B46" s="54" t="inlineStr">
        <is>
          <t>Miércoles</t>
        </is>
      </c>
      <c r="C46" s="55" t="inlineStr">
        <is>
          <t>Libre</t>
        </is>
      </c>
      <c r="D46" s="54" t="inlineStr">
        <is>
          <t>Virtu Academy</t>
        </is>
      </c>
      <c r="E46" s="54" t="inlineStr">
        <is>
          <t>DM en redes</t>
        </is>
      </c>
      <c r="F46" s="54" t="inlineStr">
        <is>
          <t>Instagram de Virtu Academy</t>
        </is>
      </c>
      <c r="G46" s="54" t="inlineStr">
        <is>
          <t>(mensaje directo)</t>
        </is>
      </c>
      <c r="H46" s="54" t="inlineStr">
        <is>
          <t>Hi! I'm Joel from Always Up. We take youth teams to Spain for training weeks (Atlético de Madrid, Real Sociedad). I emailed the club recently. Who would be the best person to speak to about trips for your youth teams?</t>
        </is>
      </c>
      <c r="I46" s="54" t="inlineStr">
        <is>
          <t>A mano desde la cuenta de la red indicada. Solo si no ha contestado al follow-up 2. Sin enlaces.</t>
        </is>
      </c>
      <c r="J46" s="54" t="n"/>
      <c r="K46" s="54" t="inlineStr">
        <is>
          <t>Solo si no hay respuesta a nada.</t>
        </is>
      </c>
    </row>
    <row r="47" ht="192.5" customHeight="1">
      <c r="A47" s="62" t="n">
        <v>46331</v>
      </c>
      <c r="B47" s="63" t="inlineStr">
        <is>
          <t>Jueves</t>
        </is>
      </c>
      <c r="C47" s="64" t="inlineStr">
        <is>
          <t>04:30</t>
        </is>
      </c>
      <c r="D47" s="63" t="inlineStr">
        <is>
          <t>IA Akranes</t>
        </is>
      </c>
      <c r="E47" s="63" t="inlineStr">
        <is>
          <t>Cierre</t>
        </is>
      </c>
      <c r="F47" s="63" t="inlineStr">
        <is>
          <t>kfia@ia.is</t>
        </is>
      </c>
      <c r="G47" s="63" t="inlineStr">
        <is>
          <t>Re: A question about youth trips to Spain</t>
        </is>
      </c>
      <c r="H47" s="63" t="inlineStr">
        <is>
          <t>Hi ÍA team,
I haven't heard back, so I'll assume the timing isn't right and I won't keep emailing.
If anything changes, or you'd like the details for later, just reply here.
Wishing ÍA Akranes a great season.
Best,
Joel Martinez
Founder, Always Up
joel.martinez@alwaysup.es | +1 (814) 329 1929 | alwaysup.es</t>
        </is>
      </c>
      <c r="I47"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7" s="63" t="n"/>
      <c r="K47" s="63" t="inlineStr">
        <is>
          <t>Tras este correo, pasa el club a 'Retomar en enero 2027' en el CRM.</t>
        </is>
      </c>
    </row>
    <row r="48" ht="192.5" customHeight="1">
      <c r="A48" s="62" t="n">
        <v>46331</v>
      </c>
      <c r="B48" s="63" t="inlineStr">
        <is>
          <t>Jueves</t>
        </is>
      </c>
      <c r="C48" s="64" t="inlineStr">
        <is>
          <t>04:30</t>
        </is>
      </c>
      <c r="D48" s="63" t="inlineStr">
        <is>
          <t>Maidstone United (Girls Development Centre)</t>
        </is>
      </c>
      <c r="E48" s="63" t="inlineStr">
        <is>
          <t>Cierre</t>
        </is>
      </c>
      <c r="F48" s="63" t="inlineStr">
        <is>
          <t>info@maidstoneunited.co.uk</t>
        </is>
      </c>
      <c r="G48" s="63" t="inlineStr">
        <is>
          <t>Re: A question about the Girls Development Centre</t>
        </is>
      </c>
      <c r="H48" s="63" t="inlineStr">
        <is>
          <t>Hi team,
I haven't heard back, so I'll assume the timing isn't right and I won't keep emailing.
If anything changes, or you'd like the details for later, just reply here.
Wishing Maidstone United a great season.
Best,
Joel Martinez
Founder, Always Up
joel.martinez@alwaysup.es | +1 (814) 329 1929 | alwaysup.es</t>
        </is>
      </c>
      <c r="I48"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8" s="63" t="n"/>
      <c r="K48" s="63" t="inlineStr">
        <is>
          <t>Tras este correo, pasa el club a 'Retomar en enero 2027' en el CRM.</t>
        </is>
      </c>
    </row>
    <row r="49" ht="192.5" customHeight="1">
      <c r="A49" s="62" t="n">
        <v>46331</v>
      </c>
      <c r="B49" s="63" t="inlineStr">
        <is>
          <t>Jueves</t>
        </is>
      </c>
      <c r="C49" s="64" t="inlineStr">
        <is>
          <t>04:30</t>
        </is>
      </c>
      <c r="D49" s="63" t="inlineStr">
        <is>
          <t>Whitehaven AFC (Juniors Girls U13-U15)</t>
        </is>
      </c>
      <c r="E49" s="63" t="inlineStr">
        <is>
          <t>Cierre</t>
        </is>
      </c>
      <c r="F49" s="63" t="inlineStr">
        <is>
          <t>Luke.johnston@whitehavenafc.com</t>
        </is>
      </c>
      <c r="G49" s="63" t="inlineStr">
        <is>
          <t>Re: A week in Spain for Whitehaven's girls teams</t>
        </is>
      </c>
      <c r="H49" s="63" t="inlineStr">
        <is>
          <t>Hi Luke,
I haven't heard back, so I'll assume the timing isn't right and I won't keep emailing.
If anything changes, or you'd like the details for later, just reply here.
Wishing Whitehaven a great season.
Best,
Joel Martinez
Founder, Always Up
joel.martinez@alwaysup.es | +1 (814) 329 1929 | alwaysup.es</t>
        </is>
      </c>
      <c r="I49"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9" s="63" t="n"/>
      <c r="K49" s="63" t="inlineStr">
        <is>
          <t>Tras este correo, pasa el club a 'Retomar en enero 2027' en el CRM.</t>
        </is>
      </c>
    </row>
    <row r="50" ht="207" customHeight="1">
      <c r="A50" s="62" t="n">
        <v>46336</v>
      </c>
      <c r="B50" s="63" t="inlineStr">
        <is>
          <t>Martes</t>
        </is>
      </c>
      <c r="C50" s="64" t="inlineStr">
        <is>
          <t>03:30</t>
        </is>
      </c>
      <c r="D50" s="63" t="inlineStr">
        <is>
          <t>FC Porte d'Aquitaine</t>
        </is>
      </c>
      <c r="E50" s="63" t="inlineStr">
        <is>
          <t>Cierre</t>
        </is>
      </c>
      <c r="F50" s="63" t="inlineStr">
        <is>
          <t>math.bachowski.mb@gmail.com</t>
        </is>
      </c>
      <c r="G50" s="63" t="inlineStr">
        <is>
          <t>Re: Une semaine en Espagne pour les jeunes du FC Porte d'Aquitaine</t>
        </is>
      </c>
      <c r="H50" s="63" t="inlineStr">
        <is>
          <t>Bonjour Mathieu,
Je n'ai pas eu de retour, je suppose donc que le moment n'est pas le bon et je ne vous écrirai plus.
Si les choses changent, ou si vous souhaitez recevoir les détails pour plus tard, répondez simplement à ce message.
Je souhaite à le FC Porte d'Aquitaine une très belle saison.
Cordialement,
Joel Martinez
Founder, Always Up
joel.martinez@alwaysup.es | +1 (814) 329 1929 | alwaysup.es</t>
        </is>
      </c>
      <c r="I50"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50" s="63" t="n"/>
      <c r="K50" s="63" t="inlineStr">
        <is>
          <t>Tras este correo, pasa el club a 'Retomar en enero 2027' en el CRM.</t>
        </is>
      </c>
    </row>
    <row r="51" ht="192.5" customHeight="1">
      <c r="A51" s="62" t="n">
        <v>46336</v>
      </c>
      <c r="B51" s="63" t="inlineStr">
        <is>
          <t>Martes</t>
        </is>
      </c>
      <c r="C51" s="64" t="inlineStr">
        <is>
          <t>04:30</t>
        </is>
      </c>
      <c r="D51" s="63" t="inlineStr">
        <is>
          <t>Virtu Academy</t>
        </is>
      </c>
      <c r="E51" s="63" t="inlineStr">
        <is>
          <t>Cierre</t>
        </is>
      </c>
      <c r="F51" s="63" t="inlineStr">
        <is>
          <t>info@virtuacademy.co.uk</t>
        </is>
      </c>
      <c r="G51" s="63" t="inlineStr">
        <is>
          <t>Re: A question about trips to Spain for Virtu</t>
        </is>
      </c>
      <c r="H51" s="63" t="inlineStr">
        <is>
          <t>Hi team,
I haven't heard back, so I'll assume the timing isn't right and I won't keep emailing.
If anything changes, or you'd like the details for later, just reply here.
Wishing Virtu Academy a great season.
Best,
Joel Martinez
Founder, Always Up
joel.martinez@alwaysup.es | +1 (814) 329 1929 | alwaysup.es</t>
        </is>
      </c>
      <c r="I51"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51" s="63" t="n"/>
      <c r="K51" s="63" t="inlineStr">
        <is>
          <t>Tras este correo, pasa el club a 'Retomar en enero 2027' en el CRM.</t>
        </is>
      </c>
    </row>
    <row r="54">
      <c r="A54" s="37" t="inlineStr">
        <is>
          <t>RESPUESTAS TIPO Y OTROS TEXTOS (para cuando contestan o para casos concretos)</t>
        </is>
      </c>
    </row>
    <row r="55" ht="120" customHeight="1">
      <c r="D55" s="31" t="inlineStr">
        <is>
          <t>Responde: quiere hablar</t>
        </is>
      </c>
      <c r="H55" s="32" t="inlineStr">
        <is>
          <t>Great, thanks for getting back to me. Here are two times that could work for a call: {A} or {B} (your time). If neither suits, tell me what does and I'll adapt. I'll send a calendar invite as soon as we pick one.
Best,
Joel Martinez
Founder, Always Up
joel.martinez@alwaysup.es | +1 (814) 329 1929 | alwaysup.es</t>
        </is>
      </c>
      <c r="I55" s="32" t="inlineStr">
        <is>
          <t>Menos de 4 horas. Sustituye {A} y {B} por dos horarios reales en su zona horaria.</t>
        </is>
      </c>
    </row>
    <row r="56" ht="120" customHeight="1">
      <c r="D56" s="31" t="inlineStr">
        <is>
          <t>Responde: pide información</t>
        </is>
      </c>
      <c r="H56" s="32" t="inlineStr">
        <is>
          <t>Of course. I've attached our company overview and the programme sheet for Team Experience. If it's easier to talk it through, I'm happy to jump on a quick call as well, just tell me what time suits you.
Best,
Joel Martinez
Founder, Always Up
joel.martinez@alwaysup.es | +1 (814) 329 1929 | alwaysup.es</t>
        </is>
      </c>
      <c r="I56" s="32" t="inlineStr">
        <is>
          <t>Adjunta Always-Up-Company-Deck.pdf y Always-Up-Team-Experience.pdf (02-sales/assets). Menos de 4 horas.</t>
        </is>
      </c>
    </row>
    <row r="57" ht="120" customHeight="1">
      <c r="D57" s="31" t="inlineStr">
        <is>
          <t>Responde: pregunta el precio</t>
        </is>
      </c>
      <c r="H57" s="32" t="inlineStr">
        <is>
          <t>It depends on the dates and the size of the group. As a reference, the five day programme starts at around $1,500 per player. A 15 minute call would let me give you an exact figure for your squad.
Best,
Joel Martinez
Founder, Always Up
joel.martinez@alwaysup.es | +1 (814) 329 1929 | alwaysup.es</t>
        </is>
      </c>
      <c r="I57" s="32" t="inlineStr">
        <is>
          <t>Decisión tuya: dar la referencia (recomendado) o dejar el precio para la llamada.</t>
        </is>
      </c>
    </row>
    <row r="58" ht="105.5" customHeight="1">
      <c r="D58" s="31" t="inlineStr">
        <is>
          <t>Responde: ahora no</t>
        </is>
      </c>
      <c r="H58" s="32" t="inlineStr">
        <is>
          <t>No problem at all, and thanks for letting me know. Would it be okay if I check back in January, when most clubs start planning Easter and summer 2027?
Best,
Joel Martinez
Founder, Always Up
joel.martinez@alwaysup.es | +1 (814) 329 1929 | alwaysup.es</t>
        </is>
      </c>
      <c r="I58" s="32" t="inlineStr">
        <is>
          <t>Apunta en el CRM: Retomar enero 2027, con fecha.</t>
        </is>
      </c>
    </row>
    <row r="59" ht="105.5" customHeight="1">
      <c r="D59" s="31" t="inlineStr">
        <is>
          <t>Responde: no soy la persona</t>
        </is>
      </c>
      <c r="H59" s="32" t="inlineStr">
        <is>
          <t>Thanks, that's really helpful. Could you share their name and email? I'll mention that you pointed me their way.
Best,
Joel Martinez
Founder, Always Up
joel.martinez@alwaysup.es | +1 (814) 329 1929 | alwaysup.es</t>
        </is>
      </c>
      <c r="I59" s="32" t="inlineStr">
        <is>
          <t>Luego escribe al nombre que te den (usa un email 1 con su nombre) y menciona a quien te derivó.</t>
        </is>
      </c>
    </row>
    <row r="60" ht="120" customHeight="1">
      <c r="D60" s="31" t="inlineStr">
        <is>
          <t>Pedir testimonio y presentaciones al club irlandés</t>
        </is>
      </c>
      <c r="H60" s="32" t="inlineStr">
        <is>
          <t>Hi [nombre], hope you and the squad are doing well. I have a small favour to ask. We're building up Always Up and your league title story means a lot to us. Would you be happy to share two or three lines about what the experience did for the players, or even a short video message? And if you know any other clubs who would enjoy a trip like yours, an introduction from you would help us enormously. Thank you so much.
Joel</t>
        </is>
      </c>
      <c r="I60" s="32" t="inlineStr">
        <is>
          <t>Mándalo tú o Enrique, por WhatsApp. El nombre del contacto lo pones tú. Si dice que sí, pídele una foto del trofeo con los jugadores (con permiso del club).</t>
        </is>
      </c>
    </row>
    <row r="61" ht="207" customHeight="1">
      <c r="D61" s="31" t="inlineStr">
        <is>
          <t>Reactivar a Leonardo Uren (WhatsApp)</t>
        </is>
      </c>
      <c r="H61" s="32" t="inlineStr">
        <is>
          <t>Hi Leonardo! Hope you and the team are doing well.
It's been a while since we last spoke, and a lot has happened on our side too. We've been growing our international work, and with Spain being World Cup champions there's a lot more interest from clubs and academies in connecting with Spanish football, so it felt like a good moment to pick this back up.
I still think there's real potential in a Brazil and Spain connection, with players and teams coming to train in Spain and maybe the other way around too. Would you be up for reopening the conversation? My dad would join again as well. It doesn't need to be tied to a specific trip this time. Even 20 or 30 minutes whenever suits you would be great.
Let me know!</t>
        </is>
      </c>
      <c r="I61" s="32" t="inlineStr">
        <is>
          <t>WhatsApp, miércoles 14/10 hacia las 10:00 de Nueva York (11:00 en Brasilia).</t>
        </is>
      </c>
    </row>
  </sheetData>
  <autoFilter ref="A4:K51"/>
  <mergeCells count="2">
    <mergeCell ref="A2:K2"/>
    <mergeCell ref="A54:K54"/>
  </mergeCells>
  <pageMargins left="0.75" right="0.75" top="1" bottom="1" header="0.5" footer="0.5"/>
</worksheet>
</file>

<file path=xl/worksheets/sheet5.xml><?xml version="1.0" encoding="utf-8"?>
<worksheet xmlns="http://schemas.openxmlformats.org/spreadsheetml/2006/main">
  <sheetPr>
    <tabColor rgb="000B1F3A"/>
    <outlinePr summaryBelow="1" summaryRight="1"/>
    <pageSetUpPr/>
  </sheetPr>
  <dimension ref="A1:I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1" customWidth="1" min="2" max="2"/>
    <col width="28" customWidth="1" min="3" max="3"/>
    <col width="46" customWidth="1" min="4" max="4"/>
    <col width="40" customWidth="1" min="5" max="5"/>
    <col width="44" customWidth="1" min="6" max="6"/>
    <col width="30" customWidth="1" min="7" max="7"/>
    <col width="26" customWidth="1" min="8" max="8"/>
    <col width="40" customWidth="1" min="9" max="9"/>
  </cols>
  <sheetData>
    <row r="1" ht="26" customHeight="1">
      <c r="A1" s="33" t="inlineStr">
        <is>
          <t>Plan de captación por servicio</t>
        </is>
      </c>
    </row>
    <row r="2" ht="46" customHeight="1">
      <c r="A2" s="34" t="inlineStr">
        <is>
          <t>Un único plan para conseguir clientes en todos los servicios, con prioridades. Con 10 a 20 horas semanales no se pueden empujar siete líneas a la vez: se trabajan a fondo las dos primeras, se cuida el resto con contactos cálidos y se documenta lo demás. Detalle completo en 02-sales/plan-captacion-todos-los-servicios.md.</t>
        </is>
      </c>
    </row>
    <row r="4" ht="30" customHeight="1">
      <c r="A4" s="35" t="inlineStr">
        <is>
          <t>Servicio</t>
        </is>
      </c>
      <c r="B4" s="35" t="inlineStr">
        <is>
          <t>Prioridad</t>
        </is>
      </c>
      <c r="C4" s="35" t="inlineStr">
        <is>
          <t>Quién compra</t>
        </is>
      </c>
      <c r="D4" s="35" t="inlineStr">
        <is>
          <t>Dónde lo encontramos (por orden de rendimiento)</t>
        </is>
      </c>
      <c r="E4" s="35" t="inlineStr">
        <is>
          <t>Qué decimos en el primer mensaje</t>
        </is>
      </c>
      <c r="F4" s="35" t="inlineStr">
        <is>
          <t>Qué se hace cada semana</t>
        </is>
      </c>
      <c r="G4" s="35" t="inlineStr">
        <is>
          <t>Objetivo a 30 días</t>
        </is>
      </c>
      <c r="H4" s="35" t="inlineStr">
        <is>
          <t>Material</t>
        </is>
      </c>
      <c r="I4" s="35" t="inlineStr">
        <is>
          <t>Límites y riesgos</t>
        </is>
      </c>
    </row>
    <row r="5" ht="91" customHeight="1">
      <c r="A5" s="31" t="inlineStr">
        <is>
          <t>Team Experience</t>
        </is>
      </c>
      <c r="B5" s="65" t="inlineStr">
        <is>
          <t>1 (principal)</t>
        </is>
      </c>
      <c r="C5" s="32" t="inlineStr">
        <is>
          <t>Club o comité de equipos de 12 a 18 años, preferiblemente de los que ya viajan</t>
        </is>
      </c>
      <c r="D5" s="32" t="inlineStr">
        <is>
          <t>1) Email con nombre y apellido (Claude investiga).
2) Referidos del club irlandés.
3) LinkedIn al decisor.
4) DM de Instagram o Facebook del club.
5) Listas de participantes de torneos en España.</t>
        </is>
      </c>
      <c r="E5" s="32" t="inlineStr">
        <is>
          <t>Una semana de entrenamiento en las instalaciones de Atlético y Real Sociedad. Pregunta de dos opciones: llamada corta o resumen.</t>
        </is>
      </c>
      <c r="F5" s="32" t="inlineStr">
        <is>
          <t>Tanda nueva de 5 a 8 clubes. Follow-ups según calendario. 5 conexiones de LinkedIn. Una petición de referidos.</t>
        </is>
      </c>
      <c r="G5" s="32" t="inlineStr">
        <is>
          <t>25 clubes contactados con nombre, 3 a 5 respuestas, 2 llamadas.</t>
        </is>
      </c>
      <c r="H5" s="32" t="inlineStr">
        <is>
          <t>Ficha Team Experience y deck de empresa (solo tras respuesta).</t>
        </is>
      </c>
      <c r="I5" s="32" t="inlineStr">
        <is>
          <t>Ciclo largo: el cierre probable es de noviembre a enero. Mucha lista de torneos no sirve: clubes ya inactivos o sin contacto.</t>
        </is>
      </c>
    </row>
    <row r="6" ht="60" customHeight="1">
      <c r="A6" s="31" t="inlineStr">
        <is>
          <t>Coach Experience</t>
        </is>
      </c>
      <c r="B6" s="65" t="inlineStr">
        <is>
          <t>1 (junto a Team)</t>
        </is>
      </c>
      <c r="C6" s="32" t="inlineStr">
        <is>
          <t>Director técnico o entrenadores de los mismos clubes</t>
        </is>
      </c>
      <c r="D6" s="32" t="inlineStr">
        <is>
          <t>Se vende en la misma conversación que Team Experience. Después: asociaciones de entrenadores y cursos.</t>
        </is>
      </c>
      <c r="E6" s="32" t="inlineStr">
        <is>
          <t>En la llamada: «¿os interesaría también que vuestros entrenadores se formen con la metodología del club?»</t>
        </is>
      </c>
      <c r="F6" s="32" t="inlineStr">
        <is>
          <t>Mencionarlo en el 100 % de las llamadas. Una publicación en LinkedIn sobre formación de entrenadores.</t>
        </is>
      </c>
      <c r="G6" s="32" t="inlineStr">
        <is>
          <t>Que salga en todas las propuestas como opción.</t>
        </is>
      </c>
      <c r="H6" s="32" t="inlineStr">
        <is>
          <t>Ficha Coach Experience.</t>
        </is>
      </c>
      <c r="I6" s="32" t="inlineStr">
        <is>
          <t>No hace falta outreach propio todavía. No lo dispersemos.</t>
        </is>
      </c>
    </row>
    <row r="7" ht="91" customHeight="1">
      <c r="A7" s="31" t="inlineStr">
        <is>
          <t>Becas EEUU (Study &amp; Play USA)</t>
        </is>
      </c>
      <c r="B7" s="65" t="inlineStr">
        <is>
          <t>1 (el que cierra antes)</t>
        </is>
      </c>
      <c r="C7" s="32" t="inlineStr">
        <is>
          <t>Familias de jugadores de 14 a 22 años, y sus entrenadores</t>
        </is>
      </c>
      <c r="D7" s="32" t="inlineStr">
        <is>
          <t>1) DMs entrantes de Instagram y WhatsApp.
2) Contenido de Instagram.
3) Entrenadores y academias que recomiendan a sus jugadores.
4) Referidos de familias que ya hablaron con nosotros.</t>
        </is>
      </c>
      <c r="E7" s="32" t="inlineStr">
        <is>
          <t>Las 4 preguntas de cualificación (nivel, vídeo, notas, presupuesto del año en EEUU). Nunca prometer beca ni nombrar al partner.</t>
        </is>
      </c>
      <c r="F7" s="32" t="inlineStr">
        <is>
          <t>Responder todo en menos de 12 h. Seguimiento a cada lead según etapa. 2 o 3 contenidos. Desde la semana 3: 5 mensajes a entrenadores prescriptores.</t>
        </is>
      </c>
      <c r="G7" s="32" t="inlineStr">
        <is>
          <t>10 leads cualificados, 3 llamadas, 1 cierre (Omar, Daniel o el del béisbol son los más avanzados).</t>
        </is>
      </c>
      <c r="H7" s="32" t="inlineStr">
        <is>
          <t>Ficha Becas EEUU + vídeo del jugador.</t>
        </is>
      </c>
      <c r="I7" s="32" t="inlineStr">
        <is>
          <t>Depende del nivel real del jugador. No descontar como primera respuesta: primero diagnosticar la objeción.</t>
        </is>
      </c>
    </row>
    <row r="8" ht="60" customHeight="1">
      <c r="A8" s="31" t="inlineStr">
        <is>
          <t>Campus Internacional (ATM y Real Sociedad fuera de España)</t>
        </is>
      </c>
      <c r="B8" s="57" t="inlineStr">
        <is>
          <t>2 (pocas operaciones, alto valor)</t>
        </is>
      </c>
      <c r="C8" s="32" t="inlineStr">
        <is>
          <t>Academias o clubes extranjeros que quieren entrenadores del Atlético o la Real en su ciudad</t>
        </is>
      </c>
      <c r="D8" s="32" t="inlineStr">
        <is>
          <t>Contactos cálidos primero: Bélgica, SADE Puerto Rico, Leonardo Uren (Brasil). Sin outreach frío hasta decidir la estructura.</t>
        </is>
      </c>
      <c r="E8" s="32" t="inlineStr">
        <is>
          <t>Solo con contactos cálidos, tras decidir estructura A o B con Enrique (23/10).</t>
        </is>
      </c>
      <c r="F8" s="32" t="inlineStr">
        <is>
          <t>Retomar los 3 contactos cálidos. Decidir estructura y política de pago.</t>
        </is>
      </c>
      <c r="G8" s="32" t="inlineStr">
        <is>
          <t>Decisión tomada y 3 conversaciones activas.</t>
        </is>
      </c>
      <c r="H8" s="32" t="inlineStr">
        <is>
          <t>Diapositiva del deck. Ficha pendiente.</t>
        </is>
      </c>
      <c r="I8" s="32" t="inlineStr">
        <is>
          <t>Riesgo de caja (cobro 50/50) y de plazas sin llenar. No vender sin decidir quién asume el riesgo.</t>
        </is>
      </c>
    </row>
    <row r="9" ht="60" customHeight="1">
      <c r="A9" s="31" t="inlineStr">
        <is>
          <t>International Program (Real Sociedad)</t>
        </is>
      </c>
      <c r="B9" s="57" t="inlineStr">
        <is>
          <t>2</t>
        </is>
      </c>
      <c r="C9" s="32" t="inlineStr">
        <is>
          <t>Familias de jugadores de 12 a 18 años y academias extranjeras</t>
        </is>
      </c>
      <c r="D9" s="32" t="inlineStr">
        <is>
          <t>Instagram, referidos y los contactos de Puerto Rico y Brasil. No hay outreach frío.</t>
        </is>
      </c>
      <c r="E9" s="32" t="inlineStr">
        <is>
          <t>Se ofrece cuando el perfil del lead encaja (edad y nivel), nunca como premio de consolación.</t>
        </is>
      </c>
      <c r="F9" s="32" t="inlineStr">
        <is>
          <t>Recoger interés entrante. Preguntar a RS por plazas y plazos 2027.</t>
        </is>
      </c>
      <c r="G9" s="32" t="inlineStr">
        <is>
          <t>Respuesta de RS y ficha preparada.</t>
        </is>
      </c>
      <c r="H9" s="32" t="inlineStr">
        <is>
          <t>Diapositiva del deck. Ficha pendiente.</t>
        </is>
      </c>
      <c r="I9" s="32" t="inlineStr">
        <is>
          <t>Sin fechas de plazas no hay urgencia real. No inventarla.</t>
        </is>
      </c>
    </row>
    <row r="10" ht="60" customHeight="1">
      <c r="A10" s="31" t="inlineStr">
        <is>
          <t>GEE (colegios privados en EEUU)</t>
        </is>
      </c>
      <c r="B10" s="66" t="inlineStr">
        <is>
          <t>3</t>
        </is>
      </c>
      <c r="C10" s="32" t="inlineStr">
        <is>
          <t>Familias de jugadores de 14 a 17 años que buscan high school privado en EEUU</t>
        </is>
      </c>
      <c r="D10" s="32" t="inlineStr">
        <is>
          <t>Dentro de la cualificación de Becas, como opción cuando encaja. Es un partner externo.</t>
        </is>
      </c>
      <c r="E10" s="32" t="inlineStr">
        <is>
          <t>Se menciona en la conversación de becas, no es un primer mensaje.</t>
        </is>
      </c>
      <c r="F10" s="32" t="inlineStr">
        <is>
          <t>Nada propio. Ficha aparte.</t>
        </is>
      </c>
      <c r="G10" s="32" t="inlineStr">
        <is>
          <t>Ficha GEE creada.</t>
        </is>
      </c>
      <c r="H10" s="32" t="inlineStr">
        <is>
          <t>Ficha pendiente.</t>
        </is>
      </c>
      <c r="I10" s="32" t="inlineStr">
        <is>
          <t>Dependemos del partner. Comprador distinto al de becas universitarias: ficha separada.</t>
        </is>
      </c>
    </row>
    <row r="11" ht="60" customHeight="1">
      <c r="A11" s="31" t="inlineStr">
        <is>
          <t>Oportunidades profesionales (Alemania y España) y Player Development</t>
        </is>
      </c>
      <c r="B11" s="66" t="inlineStr">
        <is>
          <t>4 (sin estructurar)</t>
        </is>
      </c>
      <c r="C11" s="32" t="inlineStr">
        <is>
          <t>Jugadores 16 a 22 años con nivel profesional posible</t>
        </is>
      </c>
      <c r="D11" s="32" t="inlineStr">
        <is>
          <t>No hay outreach. Se recoge interés que llegue por Instagram.</t>
        </is>
      </c>
      <c r="E11" s="32" t="inlineStr">
        <is>
          <t>Ninguno todavía.</t>
        </is>
      </c>
      <c r="F11" s="32" t="inlineStr">
        <is>
          <t>Apuntar interés en 'Oportunidades y notas'.</t>
        </is>
      </c>
      <c r="G11" s="32" t="inlineStr">
        <is>
          <t>Ninguno.</t>
        </is>
      </c>
      <c r="H11" s="32" t="inlineStr">
        <is>
          <t>Ninguno.</t>
        </is>
      </c>
      <c r="I11" s="32" t="inlineStr">
        <is>
          <t>Exposición legal con agentes FIFA y menores: usar siempre agente licenciado y abogado. No empezar hasta tener estructura.</t>
        </is>
      </c>
    </row>
    <row r="12" ht="62" customHeight="1">
      <c r="A12" s="31" t="inlineStr">
        <is>
          <t>Transversal: marca y canales</t>
        </is>
      </c>
      <c r="B12" s="66" t="inlineStr">
        <is>
          <t>Constante</t>
        </is>
      </c>
      <c r="C12" s="32" t="inlineStr">
        <is>
          <t>Todos</t>
        </is>
      </c>
      <c r="D12" s="32" t="inlineStr">
        <is>
          <t>Instagram (10.000 seguidores a fin de 2026), LinkedIn (perfil terminado y deck público subido), web alwaysup.es, Calendly (pendiente de tu horario).</t>
        </is>
      </c>
      <c r="E12" s="32" t="inlineStr">
        <is>
          <t>Siempre la misma promesa: experiencias reales con clubes profesionales.</t>
        </is>
      </c>
      <c r="F12" s="32" t="inlineStr">
        <is>
          <t>3 stories o posts por semana. 10 minutos de LinkedIn en días alternos.</t>
        </is>
      </c>
      <c r="G12" s="32" t="inlineStr">
        <is>
          <t>Sesión de redes el 17/10 y plan de 4 semanas.</t>
        </is>
      </c>
      <c r="H12" s="32" t="inlineStr">
        <is>
          <t>Perfiles y deck.</t>
        </is>
      </c>
      <c r="I12" s="32" t="inlineStr">
        <is>
          <t>Sin fotos de menores identificables.</t>
        </is>
      </c>
    </row>
  </sheetData>
  <mergeCells count="1">
    <mergeCell ref="A2:I2"/>
  </mergeCells>
  <pageMargins left="0.75" right="0.75" top="1" bottom="1" header="0.5" footer="0.5"/>
</worksheet>
</file>

<file path=xl/worksheets/sheet6.xml><?xml version="1.0" encoding="utf-8"?>
<worksheet xmlns="http://schemas.openxmlformats.org/spreadsheetml/2006/main">
  <sheetPr>
    <tabColor rgb="000B1F3A"/>
    <outlinePr summaryBelow="1" summaryRight="1"/>
    <pageSetUpPr/>
  </sheetPr>
  <dimension ref="A1:G16"/>
  <sheetViews>
    <sheetView workbookViewId="0">
      <selection activeCell="A1" sqref="A1"/>
    </sheetView>
  </sheetViews>
  <sheetFormatPr baseColWidth="8" defaultRowHeight="15"/>
  <cols>
    <col width="24" customWidth="1" min="1" max="1"/>
    <col width="36" customWidth="1" min="2" max="2"/>
    <col width="56" customWidth="1" min="3" max="3"/>
    <col width="18" customWidth="1" min="4" max="4"/>
    <col width="28" customWidth="1" min="5" max="5"/>
    <col width="12" customWidth="1" min="6" max="6"/>
    <col width="46" customWidth="1" min="7" max="7"/>
  </cols>
  <sheetData>
    <row r="1" ht="26" customHeight="1">
      <c r="A1" s="33" t="inlineStr">
        <is>
          <t>Verificación de contactos (control de calidad)</t>
        </is>
      </c>
    </row>
    <row r="2" ht="46" customHeight="1">
      <c r="A2" s="34" t="inlineStr">
        <is>
          <t>Qué he comprobado de cada dirección y con qué fiabilidad. Importante: ningún método permite saber al 100 % que un buzón existe hasta enviar. Por eso, tras cada envío miras los rebotes a los pocos minutos (tarea diaria del calendario). «Dominio recibe correo» significa que el dominio tiene servidor de correo activo.</t>
        </is>
      </c>
    </row>
    <row r="4" ht="30" customHeight="1">
      <c r="A4" s="35" t="inlineStr">
        <is>
          <t>Club</t>
        </is>
      </c>
      <c r="B4" s="35" t="inlineStr">
        <is>
          <t>Email</t>
        </is>
      </c>
      <c r="C4" s="35" t="inlineStr">
        <is>
          <t>Fuente</t>
        </is>
      </c>
      <c r="D4" s="35" t="inlineStr">
        <is>
          <t>Dominio recibe correo</t>
        </is>
      </c>
      <c r="E4" s="35" t="inlineStr">
        <is>
          <t>Estado</t>
        </is>
      </c>
      <c r="F4" s="35" t="inlineStr">
        <is>
          <t>Fiabilidad</t>
        </is>
      </c>
      <c r="G4" s="35" t="inlineStr">
        <is>
          <t>Plan B si falla</t>
        </is>
      </c>
    </row>
    <row r="5" ht="30" customHeight="1">
      <c r="A5" s="32" t="inlineStr">
        <is>
          <t>Home Farm FC</t>
        </is>
      </c>
      <c r="B5" s="32" t="inlineStr">
        <is>
          <t>homefarmfc@gmail.com</t>
        </is>
      </c>
      <c r="C5" s="32" t="inlineStr">
        <is>
          <t>Email del club en dbsportstours; enviado 13/10</t>
        </is>
      </c>
      <c r="D5" s="32" t="inlineStr">
        <is>
          <t>Sí</t>
        </is>
      </c>
      <c r="E5" s="32" t="inlineStr">
        <is>
          <t>Entregado (sin rebote a las 21:30 de España)</t>
        </is>
      </c>
      <c r="F5" s="65" t="inlineStr">
        <is>
          <t>Alta</t>
        </is>
      </c>
      <c r="G5" s="32" t="inlineStr">
        <is>
          <t>Facebook del club</t>
        </is>
      </c>
    </row>
    <row r="6" ht="30" customHeight="1">
      <c r="A6" s="32" t="inlineStr">
        <is>
          <t>Hastings United</t>
        </is>
      </c>
      <c r="B6" s="32" t="inlineStr">
        <is>
          <t>georgia.townsend@hastingsunited.com</t>
        </is>
      </c>
      <c r="C6" s="32" t="inlineStr">
        <is>
          <t>Directorio de la academia; enviado 13/10</t>
        </is>
      </c>
      <c r="D6" s="32" t="inlineStr">
        <is>
          <t>Sí</t>
        </is>
      </c>
      <c r="E6" s="32" t="inlineStr">
        <is>
          <t>Entregado (sin rebote)</t>
        </is>
      </c>
      <c r="F6" s="65" t="inlineStr">
        <is>
          <t>Alta</t>
        </is>
      </c>
      <c r="G6" s="32" t="inlineStr">
        <is>
          <t>Instagram del club</t>
        </is>
      </c>
    </row>
    <row r="7" ht="33" customHeight="1">
      <c r="A7" s="32" t="inlineStr">
        <is>
          <t>Søreide IL</t>
        </is>
      </c>
      <c r="B7" s="32" t="inlineStr">
        <is>
          <t>fotball@soreideil.no</t>
        </is>
      </c>
      <c r="C7" s="32" t="inlineStr">
        <is>
          <t>soreideil.no/fotball/kontaktinformasjon (publicado por el club)</t>
        </is>
      </c>
      <c r="D7" s="32" t="inlineStr">
        <is>
          <t>Sí</t>
        </is>
      </c>
      <c r="E7" s="32" t="inlineStr">
        <is>
          <t>Pendiente de enviar</t>
        </is>
      </c>
      <c r="F7" s="65" t="inlineStr">
        <is>
          <t>Alta</t>
        </is>
      </c>
      <c r="G7" s="32" t="inlineStr">
        <is>
          <t>Facebook del club</t>
        </is>
      </c>
    </row>
    <row r="8" ht="33" customHeight="1">
      <c r="A8" s="32" t="inlineStr">
        <is>
          <t>Holbeach United</t>
        </is>
      </c>
      <c r="B8" s="32" t="inlineStr">
        <is>
          <t>callum@holbeachunitedacademy.com</t>
        </is>
      </c>
      <c r="C8" s="32" t="inlineStr">
        <is>
          <t>holbeachunitedcsa.org.uk/contact (Callum Lawe, vicepresidente de la Academia)</t>
        </is>
      </c>
      <c r="D8" s="32" t="inlineStr">
        <is>
          <t>Sí</t>
        </is>
      </c>
      <c r="E8" s="32" t="inlineStr">
        <is>
          <t>Pendiente de enviar</t>
        </is>
      </c>
      <c r="F8" s="65" t="inlineStr">
        <is>
          <t>Alta</t>
        </is>
      </c>
      <c r="G8" s="32" t="inlineStr">
        <is>
          <t>info@holbeachunitedcsa.org.uk</t>
        </is>
      </c>
    </row>
    <row r="9" ht="47.5" customHeight="1">
      <c r="A9" s="32" t="inlineStr">
        <is>
          <t>Whitehaven AFC</t>
        </is>
      </c>
      <c r="B9" s="32" t="inlineStr">
        <is>
          <t>Luke.johnston@whitehavenafc.com</t>
        </is>
      </c>
      <c r="C9" s="32" t="inlineStr">
        <is>
          <t>Aparece como email de contacto del club en dos búsquedas. La web no lo muestra en texto (lo comprobé abriendo la página).</t>
        </is>
      </c>
      <c r="D9" s="32" t="inlineStr">
        <is>
          <t>Sí</t>
        </is>
      </c>
      <c r="E9" s="32" t="inlineStr">
        <is>
          <t>Pendiente de enviar</t>
        </is>
      </c>
      <c r="F9" s="57" t="inlineStr">
        <is>
          <t>Media</t>
        </is>
      </c>
      <c r="G9" s="32" t="inlineStr">
        <is>
          <t>Facebook de Whitehaven AFC o teléfono +44 1946 692211</t>
        </is>
      </c>
    </row>
    <row r="10" ht="30" customHeight="1">
      <c r="A10" s="32" t="inlineStr">
        <is>
          <t>Maidstone United</t>
        </is>
      </c>
      <c r="B10" s="32" t="inlineStr">
        <is>
          <t>info@maidstoneunited.co.uk</t>
        </is>
      </c>
      <c r="C10" s="32" t="inlineStr">
        <is>
          <t>Contacto general del club (búsqueda)</t>
        </is>
      </c>
      <c r="D10" s="32" t="inlineStr">
        <is>
          <t>Sí</t>
        </is>
      </c>
      <c r="E10" s="32" t="inlineStr">
        <is>
          <t>Pendiente de enviar</t>
        </is>
      </c>
      <c r="F10" s="57" t="inlineStr">
        <is>
          <t>Media</t>
        </is>
      </c>
      <c r="G10" s="32" t="inlineStr">
        <is>
          <t>Teléfono 078 3585 4704 (Girls Development Centre) o redes</t>
        </is>
      </c>
    </row>
    <row r="11" ht="30" customHeight="1">
      <c r="A11" s="32" t="inlineStr">
        <is>
          <t>IA Akranes</t>
        </is>
      </c>
      <c r="B11" s="32" t="inlineStr">
        <is>
          <t>kfia@ia.is</t>
        </is>
      </c>
      <c r="C11" s="32" t="inlineStr">
        <is>
          <t>Contacto del club (kfia.is y búsqueda)</t>
        </is>
      </c>
      <c r="D11" s="32" t="inlineStr">
        <is>
          <t>Sí</t>
        </is>
      </c>
      <c r="E11" s="32" t="inlineStr">
        <is>
          <t>Pendiente de enviar</t>
        </is>
      </c>
      <c r="F11" s="57" t="inlineStr">
        <is>
          <t>Media-alta</t>
        </is>
      </c>
      <c r="G11" s="32" t="inlineStr">
        <is>
          <t>Facebook del club</t>
        </is>
      </c>
    </row>
    <row r="12" ht="30" customHeight="1">
      <c r="A12" s="32" t="inlineStr">
        <is>
          <t>Virtu Academy</t>
        </is>
      </c>
      <c r="B12" s="32" t="inlineStr">
        <is>
          <t>info@virtuacademy.co.uk</t>
        </is>
      </c>
      <c r="C12" s="32" t="inlineStr">
        <is>
          <t>virtuacademy.co.uk (búsqueda)</t>
        </is>
      </c>
      <c r="D12" s="32" t="inlineStr">
        <is>
          <t>Sí</t>
        </is>
      </c>
      <c r="E12" s="32" t="inlineStr">
        <is>
          <t>Pendiente de enviar</t>
        </is>
      </c>
      <c r="F12" s="57" t="inlineStr">
        <is>
          <t>Media</t>
        </is>
      </c>
      <c r="G12" s="32" t="inlineStr">
        <is>
          <t>Instagram del club</t>
        </is>
      </c>
    </row>
    <row r="13" ht="33" customHeight="1">
      <c r="A13" s="32" t="inlineStr">
        <is>
          <t>FC Porte d'Aquitaine</t>
        </is>
      </c>
      <c r="B13" s="32" t="inlineStr">
        <is>
          <t>math.bachowski.mb@gmail.com</t>
        </is>
      </c>
      <c r="C13" s="32" t="inlineStr">
        <is>
          <t>Responsable técnico de jóvenes según directorio (búsqueda). Gmail personal.</t>
        </is>
      </c>
      <c r="D13" s="32" t="inlineStr">
        <is>
          <t>Sí</t>
        </is>
      </c>
      <c r="E13" s="32" t="inlineStr">
        <is>
          <t>Pendiente de enviar</t>
        </is>
      </c>
      <c r="F13" s="57" t="inlineStr">
        <is>
          <t>Media</t>
        </is>
      </c>
      <c r="G13" s="32" t="inlineStr">
        <is>
          <t>Email oficial del club en la FFF: 560792@lfna.fr</t>
        </is>
      </c>
    </row>
    <row r="15" ht="32" customHeight="1">
      <c r="A15" s="17" t="inlineStr">
        <is>
          <t>Descartados tras investigar (13/10): Morecambe Hawks United (equipo local pequeño, no encaja), Team ALTI (sin datos fiables), Lower Ormond (existe en la lista de Semana Santa pero no encuentro contacto).</t>
        </is>
      </c>
    </row>
    <row r="16" ht="32" customHeight="1">
      <c r="A16" s="17" t="inlineStr">
        <is>
          <t>Excelsior Rotterdam: club profesional con academia (Joep Breimer, jefe de desarrollo de la cantera). Perfil distinto, prioridad baja.</t>
        </is>
      </c>
    </row>
  </sheetData>
  <mergeCells count="3">
    <mergeCell ref="A16:G16"/>
    <mergeCell ref="A2:G2"/>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9"/>
  <sheetViews>
    <sheetView workbookViewId="0">
      <pane ySplit="5" topLeftCell="A6" activePane="bottomLeft" state="frozen"/>
      <selection pane="bottomLeft" activeCell="A1" sqref="A1"/>
    </sheetView>
  </sheetViews>
  <sheetFormatPr baseColWidth="8" defaultRowHeight="15"/>
  <cols>
    <col width="26" customWidth="1" min="1" max="1"/>
    <col width="12" customWidth="1" min="2" max="2"/>
    <col width="14" customWidth="1" min="3" max="3"/>
    <col width="30" customWidth="1" min="4" max="4"/>
    <col width="16" customWidth="1" min="5" max="5"/>
    <col width="22" customWidth="1" min="6" max="6"/>
    <col width="22" customWidth="1" min="7" max="7"/>
    <col width="20" customWidth="1" min="8" max="8"/>
    <col width="18" customWidth="1" min="9" max="9"/>
    <col width="28" customWidth="1" min="10" max="10"/>
    <col width="30" customWidth="1" min="11" max="11"/>
    <col width="45" customWidth="1" min="12" max="12"/>
    <col width="12" customWidth="1" min="13" max="13"/>
    <col width="14" customWidth="1" min="14" max="14"/>
    <col width="30" customWidth="1" min="15" max="15"/>
    <col width="55" customWidth="1" min="16" max="16"/>
  </cols>
  <sheetData>
    <row r="1">
      <c r="A1" s="1" t="inlineStr">
        <is>
          <t>Segmento A — Clubes juveniles internacionales</t>
        </is>
      </c>
    </row>
    <row r="2">
      <c r="A2" s="2" t="inlineStr">
        <is>
          <t>Perfil Greystones/Homefarm: decide un entrenador o comité de club, ciclo de venta corto.</t>
        </is>
      </c>
    </row>
    <row r="3" ht="60" customHeight="1">
      <c r="A3" s="10"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c r="A5" s="5" t="inlineStr">
        <is>
          <t>Club/Academia</t>
        </is>
      </c>
      <c r="B5" s="5" t="inlineStr">
        <is>
          <t>País</t>
        </is>
      </c>
      <c r="C5" s="5" t="inlineStr">
        <is>
          <t>Categoría/Edad</t>
        </is>
      </c>
      <c r="D5" s="5" t="inlineStr">
        <is>
          <t>Motivo de interés (contrastado)</t>
        </is>
      </c>
      <c r="E5" s="5" t="inlineStr">
        <is>
          <t>Fuente</t>
        </is>
      </c>
      <c r="F5" s="5" t="inlineStr">
        <is>
          <t>Contacto (nombre)</t>
        </is>
      </c>
      <c r="G5" s="5" t="inlineStr">
        <is>
          <t>Email</t>
        </is>
      </c>
      <c r="H5" s="5" t="inlineStr">
        <is>
          <t>Teléfono</t>
        </is>
      </c>
      <c r="I5" s="5" t="inlineStr">
        <is>
          <t>Estado</t>
        </is>
      </c>
      <c r="J5" s="5" t="inlineStr">
        <is>
          <t>Próxima acción</t>
        </is>
      </c>
      <c r="K5" s="5" t="inlineStr">
        <is>
          <t>Asunto email</t>
        </is>
      </c>
      <c r="L5" s="5" t="inlineStr">
        <is>
          <t>Cuerpo email</t>
        </is>
      </c>
      <c r="M5" s="5" t="inlineStr">
        <is>
          <t>Fecha envío</t>
        </is>
      </c>
      <c r="N5" s="5" t="inlineStr">
        <is>
          <t>Fecha último contacto</t>
        </is>
      </c>
      <c r="O5" s="5" t="inlineStr">
        <is>
          <t>Notas</t>
        </is>
      </c>
      <c r="P5" s="15" t="inlineStr">
        <is>
          <t>Qué adjuntar (por etapa)</t>
        </is>
      </c>
    </row>
    <row r="6" ht="60" customHeight="1">
      <c r="A6" s="6" t="inlineStr">
        <is>
          <t>Home Farm FC (chicas U13-U15)</t>
        </is>
      </c>
      <c r="B6" s="6" t="inlineStr">
        <is>
          <t>Irlanda</t>
        </is>
      </c>
      <c r="C6" s="6" t="inlineStr">
        <is>
          <t>U13-U15 chicas</t>
        </is>
      </c>
      <c r="D6" s="12" t="inlineStr">
        <is>
          <t>Mismo perfil exacto que Greystones (irlandés, viaja a España)</t>
        </is>
      </c>
      <c r="E6" s="6" t="inlineStr">
        <is>
          <t>dbsportstours.com</t>
        </is>
      </c>
      <c r="F6" s="12" t="inlineStr">
        <is>
          <t>Karl Higgins (U13) / Mark Kelly (U14) / Aaron Doherty (U15)</t>
        </is>
      </c>
      <c r="G6" s="6" t="inlineStr">
        <is>
          <t>homefarmfc@gmail.com</t>
        </is>
      </c>
      <c r="H6" s="6" t="inlineStr">
        <is>
          <t>Karl 087-3838347 / Mark 085-1116953 / Aaron 087-6242781</t>
        </is>
      </c>
      <c r="I6" s="6" t="inlineStr">
        <is>
          <t>Enviado</t>
        </is>
      </c>
      <c r="J6" s="12" t="inlineStr">
        <is>
          <t>Follow-up 1 el 20/10/2026 en el mismo hilo. Textos en la hoja 'Textos para copiar'.</t>
        </is>
      </c>
      <c r="K6" s="12" t="inlineStr">
        <is>
          <t>Bringing Home Farm FC to train with Atlético de Madrid &amp; Real Sociedad in Spain</t>
        </is>
      </c>
      <c r="L6" s="12"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3" t="n">
        <v>46308</v>
      </c>
      <c r="N6" s="13" t="n">
        <v>46308</v>
      </c>
      <c r="O6" s="12" t="inlineStr">
        <is>
          <t>Email ya preparado y revisado 2026-08-29 — solo falta que Joel lo envíe | Enviado 13/10/2026 a las 15:23 (hora de Nueva York) desde joel.martinez@alwaysup.es, solo texto, sin firma ni adjuntos</t>
        </is>
      </c>
      <c r="P6" s="12" t="inlineStr">
        <is>
          <t>1er email: NADA adjunto, solo texto (firma de texto plano). Si responde con interés: ficha Always-Up-Team-Experience.pdf. Antes de la llamada: deck de empresa (pendiente de crear), solo si hace falta. Tras la llamada: propuesta escrita.</t>
        </is>
      </c>
    </row>
    <row r="7" ht="60" customHeight="1">
      <c r="A7" s="6" t="inlineStr">
        <is>
          <t>Søreide IL</t>
        </is>
      </c>
      <c r="B7" s="6" t="inlineStr">
        <is>
          <t>Noruega</t>
        </is>
      </c>
      <c r="C7" s="6" t="inlineStr">
        <is>
          <t>Sin confirmar</t>
        </is>
      </c>
      <c r="D7" s="12" t="inlineStr">
        <is>
          <t>Participante confirmado Costa Daurada Cup 2026</t>
        </is>
      </c>
      <c r="E7" s="6" t="inlineStr">
        <is>
          <t>costadauradacup.com</t>
        </is>
      </c>
      <c r="F7" s="12" t="inlineStr">
        <is>
          <t>Marius Engen (sportslig leder) / Gunn Eklund Breisnes (leder)</t>
        </is>
      </c>
      <c r="G7" s="6" t="inlineStr">
        <is>
          <t>fotball@soreideil.no</t>
        </is>
      </c>
      <c r="H7" s="6" t="inlineStr"/>
      <c r="I7" s="6" t="inlineStr">
        <is>
          <t>Listo para enviar</t>
        </is>
      </c>
      <c r="J7" s="12" t="inlineStr">
        <is>
          <t>Enviar el 14/10/2026 a las 03:30 hora Nueva York (09:30 locales). Textos en la hoja 'Textos para copiar'.</t>
        </is>
      </c>
      <c r="K7" s="12" t="inlineStr">
        <is>
          <t>A week in Spain for Søreide's youth teams</t>
        </is>
      </c>
      <c r="L7" s="12"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M7" s="13" t="n">
        <v>46308</v>
      </c>
      <c r="N7" s="13" t="n">
        <v>46308</v>
      </c>
      <c r="O7" s="12" t="inlineStr">
        <is>
          <t>13/10/2026: el email 1 REBOTÓ (ungdomsutvalget@soreideil.no reenvía a una cuenta inexistente en bergensskolen.com). Contactos reales en soreideil.no/fotball/kontaktinformasjon. Reenvío el 14/10 a fotball@soreideil.no.</t>
        </is>
      </c>
      <c r="P7" s="12" t="inlineStr">
        <is>
          <t>1er email: NADA adjunto, solo texto (firma de texto plano). Si responde con interés: ficha Always-Up-Team-Experience.pdf. Antes de la llamada: deck de empresa (pendiente de crear), solo si hace falta. Tras la llamada: propuesta escrita.</t>
        </is>
      </c>
    </row>
    <row r="8" ht="18" customHeight="1">
      <c r="A8" s="6" t="inlineStr">
        <is>
          <t>Maidstone United (Girls Development Centre)</t>
        </is>
      </c>
      <c r="B8" s="6" t="inlineStr">
        <is>
          <t>Reino Unido</t>
        </is>
      </c>
      <c r="C8" s="6" t="inlineStr">
        <is>
          <t>Sin confirmar</t>
        </is>
      </c>
      <c r="D8" s="12" t="inlineStr">
        <is>
          <t>Participante confirmado Costa Daurada Cup 2026</t>
        </is>
      </c>
      <c r="E8" s="6" t="inlineStr">
        <is>
          <t>costadauradacup.com</t>
        </is>
      </c>
      <c r="F8" s="12" t="inlineStr">
        <is>
          <t>Sin nombre confirmado</t>
        </is>
      </c>
      <c r="G8" s="6" t="inlineStr">
        <is>
          <t>info@maidstoneunited.co.uk</t>
        </is>
      </c>
      <c r="H8" s="6" t="inlineStr">
        <is>
          <t>078 3585 4704</t>
        </is>
      </c>
      <c r="I8" s="6" t="inlineStr">
        <is>
          <t>Listo para enviar</t>
        </is>
      </c>
      <c r="J8" s="12" t="inlineStr">
        <is>
          <t>Enviar el 15/10/2026 a las 04:30 hora Nueva York (09:30 locales). Textos en la hoja 'Textos para copiar'.</t>
        </is>
      </c>
      <c r="K8" s="12" t="inlineStr">
        <is>
          <t>A question about the Girls Development Centre</t>
        </is>
      </c>
      <c r="L8" s="12"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M8" s="13" t="inlineStr"/>
      <c r="N8" s="13" t="inlineStr"/>
      <c r="O8" s="12" t="inlineStr">
        <is>
          <t>Llamar o contactar vía redes sociales del club para conseguir email directo</t>
        </is>
      </c>
      <c r="P8" s="12" t="inlineStr">
        <is>
          <t>1er email: NADA adjunto, solo texto (firma de texto plano). Si responde con interés: ficha Always-Up-Team-Experience.pdf. Antes de la llamada: deck de empresa (pendiente de crear), solo si hace falta. Tras la llamada: propuesta escrita.</t>
        </is>
      </c>
    </row>
    <row r="9" ht="18" customHeight="1">
      <c r="A9" s="6" t="inlineStr">
        <is>
          <t>Whitehaven AFC (Juniors Girls U13-U15)</t>
        </is>
      </c>
      <c r="B9" s="6" t="inlineStr">
        <is>
          <t>Reino Unido</t>
        </is>
      </c>
      <c r="C9" s="6" t="inlineStr">
        <is>
          <t>U13-U15 chicas</t>
        </is>
      </c>
      <c r="D9" s="12" t="inlineStr">
        <is>
          <t>Participante confirmado Costa Daurada Cup 2026 + tiene estructura de chicas U13/U14/U15 activa (The FA Full-Time)</t>
        </is>
      </c>
      <c r="E9" s="6" t="inlineStr">
        <is>
          <t>costadauradacup.com / fulltime.thefa.com</t>
        </is>
      </c>
      <c r="F9" s="12" t="inlineStr">
        <is>
          <t>Luke Johnston (Chairman)</t>
        </is>
      </c>
      <c r="G9" s="6" t="inlineStr">
        <is>
          <t>Luke.johnston@whitehavenafc.com</t>
        </is>
      </c>
      <c r="H9" s="6" t="inlineStr"/>
      <c r="I9" s="6" t="inlineStr">
        <is>
          <t>Listo para enviar</t>
        </is>
      </c>
      <c r="J9" s="12" t="inlineStr">
        <is>
          <t>Enviar el 15/10/2026 a las 04:30 hora Nueva York (09:30 locales). Textos en la hoja 'Textos para copiar'.</t>
        </is>
      </c>
      <c r="K9" s="12" t="inlineStr">
        <is>
          <t>A week in Spain for Whitehaven's girls teams</t>
        </is>
      </c>
      <c r="L9" s="12"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M9" s="13" t="inlineStr"/>
      <c r="N9" s="13" t="inlineStr"/>
      <c r="O9" s="12" t="inlineStr">
        <is>
          <t>Email de Luke Johnston (presidente) sacado de buscadores; la web no lo muestra. Si rebota: Facebook o teléfono +44 1946 692211.</t>
        </is>
      </c>
      <c r="P9" s="12" t="inlineStr">
        <is>
          <t>1er email: NADA adjunto, solo texto (firma de texto plano). Si responde con interés: ficha Always-Up-Team-Experience.pdf. Antes de la llamada: deck de empresa (pendiente de crear), solo si hace falta. Tras la llamada: propuesta escrita.</t>
        </is>
      </c>
    </row>
    <row r="10" ht="18" customHeight="1">
      <c r="A10" s="6" t="inlineStr">
        <is>
          <t>Lower Ormond</t>
        </is>
      </c>
      <c r="B10" s="6" t="inlineStr">
        <is>
          <t>Reino Unido (sin confirmar)</t>
        </is>
      </c>
      <c r="C10" s="6" t="inlineStr">
        <is>
          <t>Sin confirmar</t>
        </is>
      </c>
      <c r="D10" s="12" t="inlineStr">
        <is>
          <t>Aparecía como participante Costa Daurada Cup 2026 en el research original de julio</t>
        </is>
      </c>
      <c r="E10" s="6" t="inlineStr">
        <is>
          <t>costadauradacup.com</t>
        </is>
      </c>
      <c r="F10" s="12" t="inlineStr"/>
      <c r="G10" s="6" t="inlineStr"/>
      <c r="H10" s="6" t="inlineStr"/>
      <c r="I10" s="6" t="inlineStr">
        <is>
          <t>Sin identificar con certeza</t>
        </is>
      </c>
      <c r="J10" s="12" t="inlineStr">
        <is>
          <t>Verificar directamente en costadauradacup.com — la búsqueda de hoy solo encontró clubes de Ormond en Australia (deporte distinto, AFL), no coincide</t>
        </is>
      </c>
      <c r="K10" s="12" t="inlineStr"/>
      <c r="L10" s="12" t="inlineStr"/>
      <c r="M10" s="13" t="inlineStr"/>
      <c r="N10" s="13" t="inlineStr"/>
      <c r="O10" s="12" t="inlineStr">
        <is>
          <t>Investigado 2026-08-29: posible error de nombre en el research original — no gastar más tiempo hasta verificar en la fuente original | 13/10/2026: costadauradacup.com lo lista como club de Inglaterra en la edición de Semana Santa 2026. Existe: falta encontrar su contacto.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t>
        </is>
      </c>
      <c r="P10" s="12" t="inlineStr">
        <is>
          <t>1er email: NADA adjunto, solo texto (firma de texto plano). Si responde con interés: ficha Always-Up-Team-Experience.pdf. Antes de la llamada: deck de empresa (pendiente de crear), solo si hace falta. Tras la llamada: propuesta escrita.</t>
        </is>
      </c>
    </row>
    <row r="11" ht="18" customHeight="1">
      <c r="A11" s="6" t="inlineStr">
        <is>
          <t>Holbeach United</t>
        </is>
      </c>
      <c r="B11" s="6" t="inlineStr">
        <is>
          <t>Reino Unido</t>
        </is>
      </c>
      <c r="C11" s="6" t="inlineStr">
        <is>
          <t>Estructura U7-U14+</t>
        </is>
      </c>
      <c r="D11" s="12" t="inlineStr">
        <is>
          <t>Participante confirmado Costa Daurada Cup 2026 + club con estructura juvenil real y activa</t>
        </is>
      </c>
      <c r="E11" s="6" t="inlineStr">
        <is>
          <t>costadauradacup.com / holbeachunitedcsa.org.uk</t>
        </is>
      </c>
      <c r="F11" s="12" t="inlineStr">
        <is>
          <t>Callum Lawe (Vice Chairman, Football &amp; Education Academy)</t>
        </is>
      </c>
      <c r="G11" s="6" t="inlineStr">
        <is>
          <t>callum@holbeachunitedacademy.com</t>
        </is>
      </c>
      <c r="H11" s="6" t="inlineStr">
        <is>
          <t>07801 049254</t>
        </is>
      </c>
      <c r="I11" s="6" t="inlineStr">
        <is>
          <t>Listo para enviar</t>
        </is>
      </c>
      <c r="J11" s="12" t="inlineStr">
        <is>
          <t>Enviar el 14/10/2026 a las 04:30 hora Nueva York (09:30 locales). Textos en la hoja 'Textos para copiar'.</t>
        </is>
      </c>
      <c r="K11" s="12" t="inlineStr">
        <is>
          <t>A week in Spain for Holbeach's academy squads</t>
        </is>
      </c>
      <c r="L11" s="12"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M11" s="13" t="inlineStr"/>
      <c r="N11" s="13" t="inlineStr"/>
      <c r="O11" s="12" t="inlineStr">
        <is>
          <t>Investigado 2026-08-29: contacto general real, falta nombre de decisor</t>
        </is>
      </c>
      <c r="P11" s="12" t="inlineStr">
        <is>
          <t>1er email: NADA adjunto, solo texto (firma de texto plano). Si responde con interés: ficha Always-Up-Team-Experience.pdf. Antes de la llamada: deck de empresa (pendiente de crear), solo si hace falta. Tras la llamada: propuesta escrita.</t>
        </is>
      </c>
    </row>
    <row r="12" ht="60" customHeight="1">
      <c r="A12" s="6" t="inlineStr">
        <is>
          <t>Hastings United (Girls Academy)</t>
        </is>
      </c>
      <c r="B12" s="6" t="inlineStr">
        <is>
          <t>Reino Unido</t>
        </is>
      </c>
      <c r="C12" s="6" t="inlineStr">
        <is>
          <t>Academia — chicas</t>
        </is>
      </c>
      <c r="D12" s="12" t="inlineStr">
        <is>
          <t>Participante confirmado Costa Daurada Cup 2026 + academia estructurada con Head of Girls Academy identificada</t>
        </is>
      </c>
      <c r="E12" s="6" t="inlineStr">
        <is>
          <t>costadauradacup.com / academy.hastingsunited.com</t>
        </is>
      </c>
      <c r="F12" s="12" t="inlineStr">
        <is>
          <t>Georgia Townsend (Head of Girls Academy)</t>
        </is>
      </c>
      <c r="G12" s="6" t="inlineStr">
        <is>
          <t>georgia.townsend@hastingsunited.com</t>
        </is>
      </c>
      <c r="H12" s="6" t="inlineStr"/>
      <c r="I12" s="6" t="inlineStr">
        <is>
          <t>Enviado</t>
        </is>
      </c>
      <c r="J12" s="12" t="inlineStr">
        <is>
          <t>Follow-up 1 el 20/10/2026 en el mismo hilo. Textos en la hoja 'Textos para copiar'.</t>
        </is>
      </c>
      <c r="K12" s="12" t="inlineStr">
        <is>
          <t>Bringing Hastings United's Girls Academy to train with LaLiga clubs in Spain</t>
        </is>
      </c>
      <c r="L12" s="12"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3" t="n">
        <v>46308</v>
      </c>
      <c r="N12" s="13" t="n">
        <v>46308</v>
      </c>
      <c r="O12" s="12" t="inlineStr">
        <is>
          <t>Investigado 2026-08-29: el mejor de los 4 investigados hoy — decisor nombrado y academia real | Enviado 13/10/2026 a las 15:33 (hora de Nueva York) desde joel.martinez@alwaysup.es, solo texto, sin firma ni adjuntos</t>
        </is>
      </c>
      <c r="P12" s="12" t="inlineStr">
        <is>
          <t>1er email: NADA adjunto, solo texto (firma de texto plano). Si responde con interés: ficha Always-Up-Team-Experience.pdf. Antes de la llamada: deck de empresa (pendiente de crear), solo si hace falta. Tras la llamada: propuesta escrita.</t>
        </is>
      </c>
    </row>
    <row r="13" ht="18" customHeight="1">
      <c r="A13" s="6" t="inlineStr">
        <is>
          <t>Morecambe Hawks</t>
        </is>
      </c>
      <c r="B13" s="6" t="inlineStr">
        <is>
          <t>Reino Unido (verificar)</t>
        </is>
      </c>
      <c r="C13" s="6" t="inlineStr">
        <is>
          <t>Sin confirmar</t>
        </is>
      </c>
      <c r="D13" s="12" t="inlineStr">
        <is>
          <t>Aparecía como participante Costa Daurada Cup 2026 en el research original de julio</t>
        </is>
      </c>
      <c r="E13" s="6" t="inlineStr">
        <is>
          <t>costadauradacup.com</t>
        </is>
      </c>
      <c r="F13" s="12" t="inlineStr"/>
      <c r="G13" s="6" t="inlineStr">
        <is>
          <t>office@morecambefc.com (club matriz, sin confirmar relación)</t>
        </is>
      </c>
      <c r="H13" s="6" t="inlineStr"/>
      <c r="I13" s="6" t="inlineStr">
        <is>
          <t>Verificar antes de contactar</t>
        </is>
      </c>
      <c r="J13" s="12" t="inlineStr">
        <is>
          <t>La búsqueda de hoy solo encontró 'Morecambe Hawks United MHU', equipo de liga local pequeña — verificar si es el mismo club antes de escribir, puede ser coincidencia de nombre</t>
        </is>
      </c>
      <c r="K13" s="12" t="inlineStr"/>
      <c r="L13" s="12" t="inlineStr"/>
      <c r="M13" s="13" t="inlineStr"/>
      <c r="N13" s="13" t="inlineStr"/>
      <c r="O13" s="12" t="inlineStr">
        <is>
          <t>13/10/2026: solo equipo local pequeño de liga amateur. Descartado.</t>
        </is>
      </c>
      <c r="P13" s="12" t="inlineStr">
        <is>
          <t>1er email: NADA adjunto, solo texto (firma de texto plano). Si responde con interés: ficha Always-Up-Team-Experience.pdf. Antes de la llamada: deck de empresa (pendiente de crear), solo si hace falta. Tras la llamada: propuesta escrita.</t>
        </is>
      </c>
    </row>
    <row r="14" ht="18" customHeight="1">
      <c r="A14" s="6" t="inlineStr">
        <is>
          <t>IA Akranes</t>
        </is>
      </c>
      <c r="B14" s="6" t="inlineStr">
        <is>
          <t>Islandia</t>
        </is>
      </c>
      <c r="C14" s="6" t="inlineStr">
        <is>
          <t>Sin confirmar</t>
        </is>
      </c>
      <c r="D14" s="12" t="inlineStr">
        <is>
          <t>Participante confirmado Costa Daurada Cup 2026</t>
        </is>
      </c>
      <c r="E14" s="6" t="inlineStr">
        <is>
          <t>costadauradacup.com</t>
        </is>
      </c>
      <c r="F14" s="12" t="inlineStr"/>
      <c r="G14" s="6" t="inlineStr">
        <is>
          <t>kfia@ia.is</t>
        </is>
      </c>
      <c r="H14" s="6" t="inlineStr"/>
      <c r="I14" s="6" t="inlineStr">
        <is>
          <t>Listo para enviar</t>
        </is>
      </c>
      <c r="J14" s="12" t="inlineStr">
        <is>
          <t>Enviar el 15/10/2026 a las 05:30 hora Nueva York (09:30 locales). Textos en la hoja 'Textos para copiar'.</t>
        </is>
      </c>
      <c r="K14" s="12" t="inlineStr">
        <is>
          <t>A question about youth trips to Spain</t>
        </is>
      </c>
      <c r="L14" s="12"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M14" s="13" t="inlineStr"/>
      <c r="N14" s="13" t="inlineStr"/>
      <c r="O14" s="12" t="inlineStr"/>
      <c r="P14" s="12" t="inlineStr">
        <is>
          <t>1er email: NADA adjunto, solo texto (firma de texto plano). Si responde con interés: ficha Always-Up-Team-Experience.pdf. Antes de la llamada: deck de empresa (pendiente de crear), solo si hace falta. Tras la llamada: propuesta escrita.</t>
        </is>
      </c>
    </row>
    <row r="15" ht="18" customHeight="1">
      <c r="A15" s="6" t="inlineStr">
        <is>
          <t>Excelsior Rotterdam</t>
        </is>
      </c>
      <c r="B15" s="6" t="inlineStr">
        <is>
          <t>Países Bajos</t>
        </is>
      </c>
      <c r="C15" s="6" t="inlineStr">
        <is>
          <t>Sin confirmar</t>
        </is>
      </c>
      <c r="D15" s="12" t="inlineStr">
        <is>
          <t>Participante confirmado Costa Daurada Cup 2026</t>
        </is>
      </c>
      <c r="E15" s="6" t="inlineStr">
        <is>
          <t>costadauradacup.com</t>
        </is>
      </c>
      <c r="F15" s="12" t="inlineStr"/>
      <c r="G15" s="6" t="inlineStr"/>
      <c r="H15" s="6" t="inlineStr"/>
      <c r="I15" s="6" t="inlineStr">
        <is>
          <t>Pendiente investigar</t>
        </is>
      </c>
      <c r="J15" s="12" t="inlineStr">
        <is>
          <t>Investigar contacto (parte de la cuota diaria de 5 búsquedas)</t>
        </is>
      </c>
      <c r="K15" s="12" t="inlineStr"/>
      <c r="L15" s="12" t="inlineStr"/>
      <c r="M15" s="13" t="inlineStr"/>
      <c r="N15" s="13" t="inlineStr"/>
      <c r="O15" s="12" t="inlineStr">
        <is>
          <t>13/10/2026: club profesional con academia. Perfil distinto, prioridad baja.</t>
        </is>
      </c>
      <c r="P15" s="12" t="inlineStr">
        <is>
          <t>1er email: NADA adjunto, solo texto (firma de texto plano). Si responde con interés: ficha Always-Up-Team-Experience.pdf. Antes de la llamada: deck de empresa (pendiente de crear), solo si hace falta. Tras la llamada: propuesta escrita.</t>
        </is>
      </c>
    </row>
    <row r="16" ht="18" customHeight="1">
      <c r="A16" s="6" t="inlineStr">
        <is>
          <t>Deportivo de la Coruña</t>
        </is>
      </c>
      <c r="B16" s="6" t="inlineStr">
        <is>
          <t>España</t>
        </is>
      </c>
      <c r="C16" s="6" t="inlineStr">
        <is>
          <t>Anfitrión, no viajero</t>
        </is>
      </c>
      <c r="D16" s="12" t="inlineStr">
        <is>
          <t>Posible nuevo club anfitrión — ya en conversación</t>
        </is>
      </c>
      <c r="E16" s="6" t="inlineStr">
        <is>
          <t>CLAUDE.md / Joel</t>
        </is>
      </c>
      <c r="F16" s="12" t="inlineStr"/>
      <c r="G16" s="6" t="inlineStr"/>
      <c r="H16" s="6" t="inlineStr"/>
      <c r="I16" s="6" t="inlineStr">
        <is>
          <t>En negociación</t>
        </is>
      </c>
      <c r="J16" s="12" t="inlineStr">
        <is>
          <t>Ver 01-clients/pipeline.md para el estado real</t>
        </is>
      </c>
      <c r="K16" s="12" t="inlineStr"/>
      <c r="L16" s="12" t="inlineStr"/>
      <c r="M16" s="13" t="inlineStr"/>
      <c r="N16" s="13" t="inlineStr"/>
      <c r="O16" s="12" t="inlineStr">
        <is>
          <t>Ver 01-clients/pipeline.md — no duplicar seguimiento aquí, solo referencia</t>
        </is>
      </c>
      <c r="P16" s="12" t="inlineStr">
        <is>
          <t>Seguimiento ya en marcha fuera del flujo de outreach: sin adjuntos nuevos.</t>
        </is>
      </c>
    </row>
    <row r="17" ht="90" customHeight="1">
      <c r="A17" s="6" t="inlineStr">
        <is>
          <t>Leonardo Uren / equipo (Brasil) — posible partner, no solo cliente</t>
        </is>
      </c>
      <c r="B17" s="6" t="inlineStr">
        <is>
          <t>Brasil</t>
        </is>
      </c>
      <c r="C17" s="6" t="inlineStr">
        <is>
          <t>N/A — colaboración institucional, no un grupo de jugadores</t>
        </is>
      </c>
      <c r="D17" s="12" t="inlineStr">
        <is>
          <t>Conversación real ya avanzada abril-julio 2026: exploraron modelo de colaboración Brasil-España (jugadores/equipos en ambas direcciones), con el padre de Joel involucrado. Se enfrió tras propuesta de llamada el 03/07/2026 sin respuesta</t>
        </is>
      </c>
      <c r="E17" s="6" t="inlineStr">
        <is>
          <t>Contacto personal de Joel</t>
        </is>
      </c>
      <c r="F17" s="12" t="inlineStr">
        <is>
          <t>Leonardo Uren</t>
        </is>
      </c>
      <c r="G17" s="6" t="inlineStr">
        <is>
          <t>Sin email — conversación por WhatsApp</t>
        </is>
      </c>
      <c r="H17" s="6" t="inlineStr"/>
      <c r="I17" s="6" t="inlineStr">
        <is>
          <t>Listo para enviar (reactivación)</t>
        </is>
      </c>
      <c r="J17" s="12" t="inlineStr">
        <is>
          <t>Enviar el WhatsApp de reactivación el 14/10 a las 10:00 hora Nueva York.</t>
        </is>
      </c>
      <c r="K17" s="12" t="inlineStr">
        <is>
          <t>N/A — mensaje de WhatsApp, no email</t>
        </is>
      </c>
      <c r="L17" s="14" t="inlineStr">
        <is>
          <t>Hi Leonardo! Hope you and the team are doing well.
It's been a while since we last spoke, and a lot has happened on our side too. We've been growing our international work, and with Spain being World Cup champions there's a lot more interest from clubs and academies in connecting with Spanish football, so it felt like a good moment to pick this back up.
I still think there's real potential in a Brazil and Spain connection, with players and teams coming to train in Spain and maybe the other way around too. Would you be up for reopening the conversation? My dad would join again as well. It doesn't need to be tied to a specific trip this time. Even 20 or 30 minutes whenever suits you would be great.
Let me know!</t>
        </is>
      </c>
      <c r="M17" s="13" t="inlineStr"/>
      <c r="N17" s="13" t="n">
        <v>46206</v>
      </c>
      <c r="O17" s="12"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t>
        </is>
      </c>
      <c r="P17" s="12" t="inlineStr">
        <is>
          <t>Es un posible partner, no una venta estándar: sin adjuntos. Mensaje de WhatsApp y proponer llamada; llevar a la llamada ficha Team Experience + Campus Internacional (pendiente) si derivan a servicios.</t>
        </is>
      </c>
    </row>
    <row r="18">
      <c r="A18" s="6" t="inlineStr">
        <is>
          <t>Virtu Academy</t>
        </is>
      </c>
      <c r="B18" s="6" t="inlineStr">
        <is>
          <t>Reino Unido (Reading)</t>
        </is>
      </c>
      <c r="C18" s="6" t="inlineStr">
        <is>
          <t>Academia 5 a 16 años</t>
        </is>
      </c>
      <c r="D18" s="12" t="inlineStr">
        <is>
          <t>En la lista de la Costa Daurada Cup (edición de Semana Santa 2026)</t>
        </is>
      </c>
      <c r="E18" s="6" t="inlineStr">
        <is>
          <t>costadauradacup.com / virtuacademy.co.uk</t>
        </is>
      </c>
      <c r="F18" s="12" t="inlineStr">
        <is>
          <t>Mohammed Ayoub (director, según directorio; sin confirmar)</t>
        </is>
      </c>
      <c r="G18" s="6" t="inlineStr">
        <is>
          <t>info@virtuacademy.co.uk</t>
        </is>
      </c>
      <c r="H18" s="6" t="n"/>
      <c r="I18" s="6" t="inlineStr">
        <is>
          <t>Listo para enviar</t>
        </is>
      </c>
      <c r="J18" s="12" t="inlineStr">
        <is>
          <t>Enviar el 20/10/2026 a las 04:30 hora Nueva York (09:30 locales). Textos en la hoja 'Textos para copiar'.</t>
        </is>
      </c>
      <c r="K18" s="12" t="inlineStr">
        <is>
          <t>A question about trips to Spain for Virtu</t>
        </is>
      </c>
      <c r="L18" s="12"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M18" s="6" t="n"/>
      <c r="N18" s="6" t="n"/>
      <c r="O18" s="12" t="n"/>
      <c r="P18" s="12" t="inlineStr">
        <is>
          <t>1er email: nada adjunto, solo texto con firma. Si pide información: deck de empresa + ficha Team Experience. Tras la llamada: propuesta escrita.</t>
        </is>
      </c>
    </row>
    <row r="19">
      <c r="A19" s="6" t="inlineStr">
        <is>
          <t>FC Porte d'Aquitaine</t>
        </is>
      </c>
      <c r="B19" s="6" t="inlineStr">
        <is>
          <t>Francia</t>
        </is>
      </c>
      <c r="C19" s="6" t="inlineStr">
        <is>
          <t>U15 y U17</t>
        </is>
      </c>
      <c r="D19" s="12" t="inlineStr">
        <is>
          <t>En la lista de la Costa Daurada Cup (edición de verano 2026)</t>
        </is>
      </c>
      <c r="E19" s="6" t="inlineStr">
        <is>
          <t>costadauradacup.com / fff.fr</t>
        </is>
      </c>
      <c r="F19" s="12" t="inlineStr">
        <is>
          <t>Mathieu Bachowski (responsable technique jeunes)</t>
        </is>
      </c>
      <c r="G19" s="6" t="inlineStr">
        <is>
          <t>math.bachowski.mb@gmail.com</t>
        </is>
      </c>
      <c r="H19" s="6" t="n"/>
      <c r="I19" s="6" t="inlineStr">
        <is>
          <t>Listo para enviar</t>
        </is>
      </c>
      <c r="J19" s="12" t="inlineStr">
        <is>
          <t>Enviar el 20/10/2026 a las 03:30 hora Nueva York (09:30 locales). Textos en la hoja 'Textos para copiar'.</t>
        </is>
      </c>
      <c r="K19" s="12" t="inlineStr">
        <is>
          <t>Une semaine en Espagne pour les jeunes du FC Porte d'Aquitaine</t>
        </is>
      </c>
      <c r="L19" s="12"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M19" s="6" t="n"/>
      <c r="N19" s="6" t="n"/>
      <c r="O19" s="12" t="n"/>
      <c r="P19" s="12" t="inlineStr">
        <is>
          <t>1er email: nada adjunto, solo texto con firma. Si pide información: deck de empresa + ficha Team Experience. Tras la llamada: propuesta escrita.</t>
        </is>
      </c>
    </row>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sheetData>
  <autoFilter ref="A5:P17"/>
  <mergeCells count="3">
    <mergeCell ref="A3:O4"/>
    <mergeCell ref="A1:O1"/>
    <mergeCell ref="A2:O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3"/>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18" customWidth="1" min="3" max="3"/>
    <col width="34" customWidth="1" min="4" max="4"/>
    <col width="20" customWidth="1" min="5" max="5"/>
    <col width="18" customWidth="1" min="6" max="6"/>
    <col width="18" customWidth="1" min="7" max="7"/>
    <col width="26" customWidth="1" min="8" max="8"/>
    <col width="28" customWidth="1" min="9" max="9"/>
    <col width="26" customWidth="1" min="10" max="10"/>
    <col width="40" customWidth="1" min="11" max="11"/>
    <col width="12" customWidth="1" min="12" max="12"/>
    <col width="14" customWidth="1" min="13" max="13"/>
    <col width="36" customWidth="1" min="14" max="14"/>
    <col width="55" customWidth="1" min="15" max="15"/>
  </cols>
  <sheetData>
    <row r="1">
      <c r="A1" s="1" t="inlineStr">
        <is>
          <t>Segmento B — Universidades y clubes de América</t>
        </is>
      </c>
    </row>
    <row r="2">
      <c r="A2" s="2" t="inlineStr">
        <is>
          <t>NCAA + clubes/academias EEUU. Incluye fútbol femenino universitario (segmento en crecimiento, menos competido).</t>
        </is>
      </c>
    </row>
    <row r="3" ht="60" customHeight="1">
      <c r="A3" s="10"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c r="A5" s="5" t="inlineStr">
        <is>
          <t>Programa/Club</t>
        </is>
      </c>
      <c r="B5" s="5" t="inlineStr">
        <is>
          <t>País/Estado</t>
        </is>
      </c>
      <c r="C5" s="5" t="inlineStr">
        <is>
          <t>Nivel</t>
        </is>
      </c>
      <c r="D5" s="5" t="inlineStr">
        <is>
          <t>Motivo de interés</t>
        </is>
      </c>
      <c r="E5" s="5" t="inlineStr">
        <is>
          <t>Fuente</t>
        </is>
      </c>
      <c r="F5" s="5" t="inlineStr">
        <is>
          <t>Contacto</t>
        </is>
      </c>
      <c r="G5" s="5" t="inlineStr">
        <is>
          <t>Email</t>
        </is>
      </c>
      <c r="H5" s="5" t="inlineStr">
        <is>
          <t>Estado</t>
        </is>
      </c>
      <c r="I5" s="5" t="inlineStr">
        <is>
          <t>Próxima acción</t>
        </is>
      </c>
      <c r="J5" s="5" t="inlineStr">
        <is>
          <t>Asunto email</t>
        </is>
      </c>
      <c r="K5" s="5" t="inlineStr">
        <is>
          <t>Cuerpo email</t>
        </is>
      </c>
      <c r="L5" s="5" t="inlineStr">
        <is>
          <t>Fecha envío</t>
        </is>
      </c>
      <c r="M5" s="5" t="inlineStr">
        <is>
          <t>Fecha último contacto</t>
        </is>
      </c>
      <c r="N5" s="5" t="inlineStr">
        <is>
          <t>Notas</t>
        </is>
      </c>
      <c r="O5" s="15" t="inlineStr">
        <is>
          <t>Qué adjuntar (por etapa)</t>
        </is>
      </c>
    </row>
    <row r="6">
      <c r="A6" s="6" t="inlineStr">
        <is>
          <t>ODP Louisiana</t>
        </is>
      </c>
      <c r="B6" s="6" t="inlineStr">
        <is>
          <t>Louisiana, EEUU</t>
        </is>
      </c>
      <c r="C6" s="6" t="inlineStr">
        <is>
          <t>Club/Academia</t>
        </is>
      </c>
      <c r="D6" s="12" t="inlineStr">
        <is>
          <t>Participante confirmado Costa Daurada Cup 2026 — encaja con foco geográfico EEUU</t>
        </is>
      </c>
      <c r="E6" s="6" t="inlineStr">
        <is>
          <t>costadauradacup.com</t>
        </is>
      </c>
      <c r="F6" s="6" t="inlineStr"/>
      <c r="G6" s="6" t="inlineStr"/>
      <c r="H6" s="6" t="inlineStr">
        <is>
          <t>Pendiente investigar contacto</t>
        </is>
      </c>
      <c r="I6" s="12" t="inlineStr">
        <is>
          <t>Investigar contacto — solo después de que Segmento A tenga 2-3 conversaciones reales</t>
        </is>
      </c>
      <c r="J6" s="12" t="inlineStr"/>
      <c r="K6" s="12" t="inlineStr"/>
      <c r="L6" s="13" t="inlineStr"/>
      <c r="M6" s="13" t="inlineStr"/>
      <c r="N6" s="12" t="inlineStr"/>
      <c r="O6" s="12" t="inlineStr">
        <is>
          <t>1er email/LinkedIn: NADA adjunto. Si responde: ficha Team Experience (equipos) o Campus Internacional (academias, ficha pendiente). Segmento secundario: no invertir en materiales a medida hasta tener conversaciones reales.</t>
        </is>
      </c>
    </row>
    <row r="7">
      <c r="A7" s="6" t="inlineStr">
        <is>
          <t>Dallas Texans</t>
        </is>
      </c>
      <c r="B7" s="6" t="inlineStr">
        <is>
          <t>Texas, EEUU</t>
        </is>
      </c>
      <c r="C7" s="6" t="inlineStr">
        <is>
          <t>Club/Academia (ECNL)</t>
        </is>
      </c>
      <c r="D7" s="12" t="inlineStr">
        <is>
          <t>Participante ECNL International IberCup 2026</t>
        </is>
      </c>
      <c r="E7" s="6" t="inlineStr">
        <is>
          <t>soccerwire.com / theecnl.com</t>
        </is>
      </c>
      <c r="F7" s="6" t="inlineStr"/>
      <c r="G7" s="6" t="inlineStr"/>
      <c r="H7" s="6" t="inlineStr">
        <is>
          <t>Pendiente filtrar por edad + contacto</t>
        </is>
      </c>
      <c r="I7" s="12" t="inlineStr">
        <is>
          <t>Confirmar categorías mayores antes de investigar más</t>
        </is>
      </c>
      <c r="J7" s="12" t="inlineStr"/>
      <c r="K7" s="12" t="inlineStr"/>
      <c r="L7" s="13" t="inlineStr"/>
      <c r="M7" s="13" t="inlineStr"/>
      <c r="N7" s="12" t="inlineStr">
        <is>
          <t>Aviso: categoría IberCup es U11/U12 7v7 — confirmar que tienen categorías mayores antes de contactar</t>
        </is>
      </c>
      <c r="O7" s="12" t="inlineStr">
        <is>
          <t>1er email/LinkedIn: NADA adjunto. Si responde: ficha Team Experience (equipos) o Campus Internacional (academias, ficha pendiente). Segmento secundario: no invertir en materiales a medida hasta tener conversaciones reales.</t>
        </is>
      </c>
    </row>
    <row r="8">
      <c r="A8" s="6" t="inlineStr">
        <is>
          <t>Charlotte SA</t>
        </is>
      </c>
      <c r="B8" s="6" t="inlineStr">
        <is>
          <t>Carolina del Norte, EEUU</t>
        </is>
      </c>
      <c r="C8" s="6" t="inlineStr">
        <is>
          <t>Club/Academia (ECNL)</t>
        </is>
      </c>
      <c r="D8" s="12" t="inlineStr">
        <is>
          <t>Participante ECNL International IberCup 2026</t>
        </is>
      </c>
      <c r="E8" s="6" t="inlineStr">
        <is>
          <t>soccerwire.com / theecnl.com</t>
        </is>
      </c>
      <c r="F8" s="6" t="inlineStr"/>
      <c r="G8" s="6" t="inlineStr"/>
      <c r="H8" s="6" t="inlineStr">
        <is>
          <t>Pendiente filtrar por edad + contacto</t>
        </is>
      </c>
      <c r="I8" s="12" t="inlineStr">
        <is>
          <t>Confirmar categorías mayores antes de investigar más</t>
        </is>
      </c>
      <c r="J8" s="12" t="inlineStr"/>
      <c r="K8" s="12" t="inlineStr"/>
      <c r="L8" s="13" t="inlineStr"/>
      <c r="M8" s="13" t="inlineStr"/>
      <c r="N8" s="12" t="inlineStr">
        <is>
          <t>Mismo aviso de edad que arriba</t>
        </is>
      </c>
      <c r="O8" s="12" t="inlineStr">
        <is>
          <t>1er email/LinkedIn: NADA adjunto. Si responde: ficha Team Experience (equipos) o Campus Internacional (academias, ficha pendiente). Segmento secundario: no invertir en materiales a medida hasta tener conversaciones reales.</t>
        </is>
      </c>
    </row>
    <row r="9">
      <c r="A9" s="6" t="inlineStr">
        <is>
          <t>Philadelphia Union Academy</t>
        </is>
      </c>
      <c r="B9" s="6" t="inlineStr">
        <is>
          <t>Pensilvania, EEUU</t>
        </is>
      </c>
      <c r="C9" s="6" t="inlineStr">
        <is>
          <t>Club/Academia (ECNL)</t>
        </is>
      </c>
      <c r="D9" s="12" t="inlineStr">
        <is>
          <t>Participante ECNL International IberCup 2026</t>
        </is>
      </c>
      <c r="E9" s="6" t="inlineStr">
        <is>
          <t>soccerwire.com / theecnl.com</t>
        </is>
      </c>
      <c r="F9" s="6" t="inlineStr"/>
      <c r="G9" s="6" t="inlineStr"/>
      <c r="H9" s="6" t="inlineStr">
        <is>
          <t>Pendiente filtrar por edad + contacto</t>
        </is>
      </c>
      <c r="I9" s="12" t="inlineStr">
        <is>
          <t>Confirmar categorías mayores antes de investigar más</t>
        </is>
      </c>
      <c r="J9" s="12" t="inlineStr"/>
      <c r="K9" s="12" t="inlineStr"/>
      <c r="L9" s="13" t="inlineStr"/>
      <c r="M9" s="13" t="inlineStr"/>
      <c r="N9" s="12" t="inlineStr">
        <is>
          <t>Mismo aviso de edad que arriba</t>
        </is>
      </c>
      <c r="O9" s="12" t="inlineStr">
        <is>
          <t>1er email/LinkedIn: NADA adjunto. Si responde: ficha Team Experience (equipos) o Campus Internacional (academias, ficha pendiente). Segmento secundario: no invertir en materiales a medida hasta tener conversaciones reales.</t>
        </is>
      </c>
    </row>
    <row r="10">
      <c r="A10" s="6" t="inlineStr">
        <is>
          <t>Seattle United</t>
        </is>
      </c>
      <c r="B10" s="6" t="inlineStr">
        <is>
          <t>Washington, EEUU</t>
        </is>
      </c>
      <c r="C10" s="6" t="inlineStr">
        <is>
          <t>Club/Academia (ECNL)</t>
        </is>
      </c>
      <c r="D10" s="12" t="inlineStr">
        <is>
          <t>Participante ECNL International IberCup 2026</t>
        </is>
      </c>
      <c r="E10" s="6" t="inlineStr">
        <is>
          <t>soccerwire.com / theecnl.com</t>
        </is>
      </c>
      <c r="F10" s="6" t="inlineStr"/>
      <c r="G10" s="6" t="inlineStr"/>
      <c r="H10" s="6" t="inlineStr">
        <is>
          <t>Pendiente filtrar por edad + contacto</t>
        </is>
      </c>
      <c r="I10" s="12" t="inlineStr">
        <is>
          <t>Confirmar categorías mayores antes de investigar más</t>
        </is>
      </c>
      <c r="J10" s="12" t="inlineStr"/>
      <c r="K10" s="12" t="inlineStr"/>
      <c r="L10" s="13" t="inlineStr"/>
      <c r="M10" s="13" t="inlineStr"/>
      <c r="N10" s="12" t="inlineStr">
        <is>
          <t>Mismo aviso de edad que arriba</t>
        </is>
      </c>
      <c r="O10" s="12" t="inlineStr">
        <is>
          <t>1er email/LinkedIn: NADA adjunto. Si responde: ficha Team Experience (equipos) o Campus Internacional (academias, ficha pendiente). Segmento secundario: no invertir en materiales a medida hasta tener conversaciones reales.</t>
        </is>
      </c>
    </row>
    <row r="11">
      <c r="A11" s="6" t="inlineStr">
        <is>
          <t>San Diego Surf</t>
        </is>
      </c>
      <c r="B11" s="6" t="inlineStr">
        <is>
          <t>California, EEUU</t>
        </is>
      </c>
      <c r="C11" s="6" t="inlineStr">
        <is>
          <t>Club/Academia (ECNL)</t>
        </is>
      </c>
      <c r="D11" s="12" t="inlineStr">
        <is>
          <t>Participante ECNL International IberCup 2026</t>
        </is>
      </c>
      <c r="E11" s="6" t="inlineStr">
        <is>
          <t>soccerwire.com / theecnl.com</t>
        </is>
      </c>
      <c r="F11" s="6" t="inlineStr"/>
      <c r="G11" s="6" t="inlineStr"/>
      <c r="H11" s="6" t="inlineStr">
        <is>
          <t>Pendiente filtrar por edad + contacto</t>
        </is>
      </c>
      <c r="I11" s="12" t="inlineStr">
        <is>
          <t>Confirmar categorías mayores antes de investigar más</t>
        </is>
      </c>
      <c r="J11" s="12" t="inlineStr"/>
      <c r="K11" s="12" t="inlineStr"/>
      <c r="L11" s="13" t="inlineStr"/>
      <c r="M11" s="13" t="inlineStr"/>
      <c r="N11" s="12" t="inlineStr">
        <is>
          <t>Mismo aviso de edad que arriba</t>
        </is>
      </c>
      <c r="O11" s="12" t="inlineStr">
        <is>
          <t>1er email/LinkedIn: NADA adjunto. Si responde: ficha Team Experience (equipos) o Campus Internacional (academias, ficha pendiente). Segmento secundario: no invertir en materiales a medida hasta tener conversaciones reales.</t>
        </is>
      </c>
    </row>
    <row r="12">
      <c r="A12" s="6" t="inlineStr">
        <is>
          <t>UNC Women's Soccer</t>
        </is>
      </c>
      <c r="B12" s="6" t="inlineStr">
        <is>
          <t>Carolina del Norte, EEUU</t>
        </is>
      </c>
      <c r="C12" s="6" t="inlineStr">
        <is>
          <t>NCAA D1 (ACC, top-25)</t>
        </is>
      </c>
      <c r="D12" s="12" t="inlineStr">
        <is>
          <t>Primera gira internacional en 15 años (Dublín, agosto 2026) — demuestra que el interés es real</t>
        </is>
      </c>
      <c r="E12" s="6" t="inlineStr">
        <is>
          <t>tarheeltribune.com</t>
        </is>
      </c>
      <c r="F12" s="6" t="inlineStr"/>
      <c r="G12" s="6" t="inlineStr"/>
      <c r="H12" s="6" t="inlineStr">
        <is>
          <t>Solo referencia — NO contactar</t>
        </is>
      </c>
      <c r="I12" s="12" t="inlineStr">
        <is>
          <t>Ninguna — caso de estudio, no target</t>
        </is>
      </c>
      <c r="J12" s="12" t="inlineStr"/>
      <c r="K12" s="12" t="inlineStr"/>
      <c r="L12" s="13" t="inlineStr"/>
      <c r="M12" s="13" t="inlineStr"/>
      <c r="N12" s="12" t="inlineStr">
        <is>
          <t>Programa grande con relaciones ya asentadas, mal candidato para primer contacto. Dejar como caso de estudio del mercado</t>
        </is>
      </c>
      <c r="O12" s="12" t="inlineStr">
        <is>
          <t>1er email/LinkedIn: NADA adjunto. Si responde: ficha Team Experience (equipos) o Campus Internacional (academias, ficha pendiente). Segmento secundario: no invertir en materiales a medida hasta tener conversaciones reales.</t>
        </is>
      </c>
    </row>
    <row r="13">
      <c r="A13" s="6" t="inlineStr">
        <is>
          <t>Programas NCAA D2/D3 sin partnership visible (por identificar)</t>
        </is>
      </c>
      <c r="B13" s="6" t="inlineStr">
        <is>
          <t>EEUU</t>
        </is>
      </c>
      <c r="C13" s="6" t="inlineStr">
        <is>
          <t>NCAA D2/D3</t>
        </is>
      </c>
      <c r="D13" s="12" t="inlineStr">
        <is>
          <t>Hipótesis sin validar: menos competencia que D1, presupuestos más flexibles</t>
        </is>
      </c>
      <c r="E13" s="6" t="inlineStr">
        <is>
          <t>Pendiente investigación propia</t>
        </is>
      </c>
      <c r="F13" s="6" t="inlineStr"/>
      <c r="G13" s="6" t="inlineStr"/>
      <c r="H13" s="6" t="inlineStr">
        <is>
          <t>Pendiente investigación profunda</t>
        </is>
      </c>
      <c r="I13" s="12" t="inlineStr">
        <is>
          <t>Sesión de investigación dedicada (no urgente)</t>
        </is>
      </c>
      <c r="J13" s="12" t="inlineStr"/>
      <c r="K13" s="12" t="inlineStr"/>
      <c r="L13" s="13" t="inlineStr"/>
      <c r="M13" s="13" t="inlineStr"/>
      <c r="N13" s="12" t="inlineStr">
        <is>
          <t>Búsqueda rápida (2026-08-29) no encontró candidatos concretos — requiere sesión de investigación dedicada, no una búsqueda genérica</t>
        </is>
      </c>
      <c r="O13" s="12" t="inlineStr">
        <is>
          <t>1er email/LinkedIn: NADA adjunto. Si responde: ficha Team Experience (equipos) o Campus Internacional (academias, ficha pendiente). Segmento secundario: no invertir en materiales a medida hasta tener conversaciones reales.</t>
        </is>
      </c>
    </row>
  </sheetData>
  <autoFilter ref="A5:O13"/>
  <mergeCells count="3">
    <mergeCell ref="A3:N4"/>
    <mergeCell ref="A2:N2"/>
    <mergeCell ref="A1:N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0"/>
  <sheetViews>
    <sheetView workbookViewId="0">
      <pane ySplit="5" topLeftCell="A6" activePane="bottomLeft" state="frozen"/>
      <selection pane="bottomLeft" activeCell="A1" sqref="A1"/>
    </sheetView>
  </sheetViews>
  <sheetFormatPr baseColWidth="8" defaultRowHeight="15"/>
  <cols>
    <col width="30" customWidth="1" min="1" max="1"/>
    <col width="8" customWidth="1" min="2" max="2"/>
    <col width="18" customWidth="1" min="3" max="3"/>
    <col width="30" customWidth="1" min="4" max="4"/>
    <col width="18" customWidth="1" min="5" max="5"/>
    <col width="16" customWidth="1" min="6" max="6"/>
    <col width="28" customWidth="1" min="7" max="7"/>
    <col width="34" customWidth="1" min="8" max="8"/>
    <col width="16" customWidth="1" min="9" max="9"/>
    <col width="40" customWidth="1" min="10" max="10"/>
    <col width="55" customWidth="1" min="11" max="11"/>
  </cols>
  <sheetData>
    <row r="1">
      <c r="A1" s="1" t="inlineStr">
        <is>
          <t>Segmento C — Becas deportivas (inbound Instagram)</t>
        </is>
      </c>
    </row>
    <row r="2">
      <c r="A2" s="2" t="inlineStr">
        <is>
          <t>No es outreach frío — es inbound que ya llega solo. El trabajo es cualificar y cerrar mejor.</t>
        </is>
      </c>
    </row>
    <row r="3" ht="60" customHeight="1">
      <c r="A3" s="10"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c r="A5" s="5" t="inlineStr">
        <is>
          <t>Nombre / contacto (IG)</t>
        </is>
      </c>
      <c r="B5" s="5" t="inlineStr">
        <is>
          <t>Edad</t>
        </is>
      </c>
      <c r="C5" s="5" t="inlineStr">
        <is>
          <t>País</t>
        </is>
      </c>
      <c r="D5" s="5" t="inlineStr">
        <is>
          <t>Nivel/Posición</t>
        </is>
      </c>
      <c r="E5" s="5" t="inlineStr">
        <is>
          <t>Etapa</t>
        </is>
      </c>
      <c r="F5" s="5" t="inlineStr">
        <is>
          <t>¿Vídeo recibido?</t>
        </is>
      </c>
      <c r="G5" s="5" t="inlineStr">
        <is>
          <t>¿Cualificado? (ver plan-ventas-maestro.md sec.5)</t>
        </is>
      </c>
      <c r="H5" s="5" t="inlineStr">
        <is>
          <t>Próxima acción</t>
        </is>
      </c>
      <c r="I5" s="5" t="inlineStr">
        <is>
          <t>Última actualización</t>
        </is>
      </c>
      <c r="J5" s="5" t="inlineStr">
        <is>
          <t>Notas</t>
        </is>
      </c>
      <c r="K5" s="15" t="inlineStr">
        <is>
          <t>Qué adjuntar (por etapa)</t>
        </is>
      </c>
    </row>
    <row r="6">
      <c r="A6" s="6" t="inlineStr">
        <is>
          <t>Francisco Ferreira / francisco_7ferreira</t>
        </is>
      </c>
      <c r="B6" s="6" t="inlineStr">
        <is>
          <t>20</t>
        </is>
      </c>
      <c r="C6" s="6" t="inlineStr">
        <is>
          <t>Portugal</t>
        </is>
      </c>
      <c r="D6" s="6" t="inlineStr">
        <is>
          <t>Lateral derecho, 2ª división distrital</t>
        </is>
      </c>
      <c r="E6" s="6" t="inlineStr">
        <is>
          <t>Llamada realizada</t>
        </is>
      </c>
      <c r="F6" s="6" t="inlineStr">
        <is>
          <t>Sí</t>
        </is>
      </c>
      <c r="G6" s="6" t="inlineStr">
        <is>
          <t>Sí — mandó vídeo</t>
        </is>
      </c>
      <c r="H6" s="12" t="inlineStr">
        <is>
          <t>Acusar recibo del vídeo y evaluar</t>
        </is>
      </c>
      <c r="I6" s="6" t="inlineStr">
        <is>
          <t>2026-08</t>
        </is>
      </c>
      <c r="J6" s="12" t="inlineStr">
        <is>
          <t>Dilema real: ir a EEUU 2027 vs. quedarse en Portugal a estudiar</t>
        </is>
      </c>
      <c r="K6" s="12" t="inlineStr">
        <is>
          <t>1er DM: sin adjuntos. Tras cualificar (nivel + vídeo): ficha Always-Up-Becas-EEUU.pdf (2 págs, en español, pensada para móvil, sin precio). NUNCA el deck de University Soccer. Llamada: Calendly.</t>
        </is>
      </c>
    </row>
    <row r="7">
      <c r="A7" s="6" t="inlineStr">
        <is>
          <t>Bauti / bautimoransalzano</t>
        </is>
      </c>
      <c r="B7" s="6" t="inlineStr"/>
      <c r="C7" s="6" t="inlineStr"/>
      <c r="D7" s="6" t="inlineStr"/>
      <c r="E7" s="6" t="inlineStr">
        <is>
          <t>Nuevo</t>
        </is>
      </c>
      <c r="F7" s="6" t="inlineStr">
        <is>
          <t>No</t>
        </is>
      </c>
      <c r="G7" s="6" t="inlineStr">
        <is>
          <t>Sin evaluar</t>
        </is>
      </c>
      <c r="H7" s="12" t="inlineStr">
        <is>
          <t>Aceptar la solicitud de IG (2 semanas sin aceptar)</t>
        </is>
      </c>
      <c r="I7" s="6" t="inlineStr">
        <is>
          <t>2026-08</t>
        </is>
      </c>
      <c r="J7" s="12" t="inlineStr">
        <is>
          <t>Preguntó directamente por el sistema de becas</t>
        </is>
      </c>
      <c r="K7" s="12" t="inlineStr">
        <is>
          <t>1er DM: sin adjuntos. Tras cualificar (nivel + vídeo): ficha Always-Up-Becas-EEUU.pdf (2 págs, en español, pensada para móvil, sin precio). NUNCA el deck de University Soccer. Llamada: Calendly.</t>
        </is>
      </c>
    </row>
    <row r="8">
      <c r="A8" s="6" t="inlineStr">
        <is>
          <t>Pavel Gomez / paixvi.b</t>
        </is>
      </c>
      <c r="B8" s="6" t="inlineStr">
        <is>
          <t>17</t>
        </is>
      </c>
      <c r="C8" s="6" t="inlineStr">
        <is>
          <t>EEUU (ya reside)</t>
        </is>
      </c>
      <c r="D8" s="6" t="inlineStr">
        <is>
          <t>Junior, Osceola HS clase 2027, GPA 3.0</t>
        </is>
      </c>
      <c r="E8" s="6" t="inlineStr">
        <is>
          <t>Cualificado</t>
        </is>
      </c>
      <c r="F8" s="6" t="inlineStr">
        <is>
          <t>Sí</t>
        </is>
      </c>
      <c r="G8" s="6" t="inlineStr">
        <is>
          <t>Sí</t>
        </is>
      </c>
      <c r="H8" s="12" t="inlineStr">
        <is>
          <t>Proponer videollamada</t>
        </is>
      </c>
      <c r="I8" s="6" t="inlineStr">
        <is>
          <t>2026-08</t>
        </is>
      </c>
      <c r="J8" s="12" t="inlineStr">
        <is>
          <t>Lead fuerte — ya en EEUU, quiere seguir compitiendo y sacar diploma</t>
        </is>
      </c>
      <c r="K8" s="12" t="inlineStr">
        <is>
          <t>1er DM: sin adjuntos. Tras cualificar (nivel + vídeo): ficha Always-Up-Becas-EEUU.pdf (2 págs, en español, pensada para móvil, sin precio). NUNCA el deck de University Soccer. Llamada: Calendly.</t>
        </is>
      </c>
    </row>
    <row r="9">
      <c r="A9" s="6" t="inlineStr">
        <is>
          <t>Gonzalo Caro / gonzalocarocontreras</t>
        </is>
      </c>
      <c r="B9" s="6" t="inlineStr"/>
      <c r="C9" s="6" t="inlineStr"/>
      <c r="D9" s="6" t="inlineStr"/>
      <c r="E9" s="6" t="inlineStr">
        <is>
          <t>Llamada agendada</t>
        </is>
      </c>
      <c r="F9" s="6" t="inlineStr"/>
      <c r="G9" s="6" t="inlineStr">
        <is>
          <t>Sí</t>
        </is>
      </c>
      <c r="H9" s="12" t="inlineStr">
        <is>
          <t>Confirmar hora propuesta: jueves 8am</t>
        </is>
      </c>
      <c r="I9" s="6" t="inlineStr">
        <is>
          <t>2026-08</t>
        </is>
      </c>
      <c r="J9" s="12" t="inlineStr">
        <is>
          <t>Lead muy caliente, solo falta confirmar</t>
        </is>
      </c>
      <c r="K9" s="12" t="inlineStr">
        <is>
          <t>1er DM: sin adjuntos. Tras cualificar (nivel + vídeo): ficha Always-Up-Becas-EEUU.pdf (2 págs, en español, pensada para móvil, sin precio). NUNCA el deck de University Soccer. Llamada: Calendly.</t>
        </is>
      </c>
    </row>
    <row r="10">
      <c r="A10" s="6" t="inlineStr">
        <is>
          <t>Tania Coeto / tania_coeto</t>
        </is>
      </c>
      <c r="B10" s="6" t="inlineStr"/>
      <c r="C10" s="6" t="inlineStr"/>
      <c r="D10" s="6" t="inlineStr"/>
      <c r="E10" s="6" t="inlineStr">
        <is>
          <t>Llamada agendada</t>
        </is>
      </c>
      <c r="F10" s="6" t="inlineStr"/>
      <c r="G10" s="6" t="inlineStr">
        <is>
          <t>Sí</t>
        </is>
      </c>
      <c r="H10" s="12" t="inlineStr">
        <is>
          <t>Confirmar día para videollamada</t>
        </is>
      </c>
      <c r="I10" s="6" t="inlineStr">
        <is>
          <t>2026-08</t>
        </is>
      </c>
      <c r="J10" s="12" t="inlineStr">
        <is>
          <t>Intentaba cerrar día ('hoy o mañana'), se quedó sin respuesta</t>
        </is>
      </c>
      <c r="K10" s="12" t="inlineStr">
        <is>
          <t>1er DM: sin adjuntos. Tras cualificar (nivel + vídeo): ficha Always-Up-Becas-EEUU.pdf (2 págs, en español, pensada para móvil, sin precio). NUNCA el deck de University Soccer. Llamada: Calendly.</t>
        </is>
      </c>
    </row>
    <row r="11">
      <c r="A11" s="6" t="inlineStr">
        <is>
          <t>Barbara Cuellar / bcshisha</t>
        </is>
      </c>
      <c r="B11" s="6" t="inlineStr">
        <is>
          <t>13</t>
        </is>
      </c>
      <c r="C11" s="6" t="inlineStr">
        <is>
          <t>Reino Unido (interés original)</t>
        </is>
      </c>
      <c r="D11" s="6" t="inlineStr">
        <is>
          <t>Fan Manchester City</t>
        </is>
      </c>
      <c r="E11" s="6" t="inlineStr">
        <is>
          <t>Cualificado</t>
        </is>
      </c>
      <c r="F11" s="6" t="inlineStr">
        <is>
          <t>No</t>
        </is>
      </c>
      <c r="G11" s="6" t="inlineStr">
        <is>
          <t>Parcial</t>
        </is>
      </c>
      <c r="H11" s="12" t="inlineStr">
        <is>
          <t>Enviar explicación del proceso EEUU (nunca mencionar University Soccer)</t>
        </is>
      </c>
      <c r="I11" s="6" t="inlineStr">
        <is>
          <t>2026-08</t>
        </is>
      </c>
      <c r="J11" s="12" t="inlineStr">
        <is>
          <t>Originalmente pedía Inglaterra, aceptó explorar vía EEUU</t>
        </is>
      </c>
      <c r="K11" s="12" t="inlineStr">
        <is>
          <t>1er DM: sin adjuntos. Tras cualificar (nivel + vídeo): ficha Always-Up-Becas-EEUU.pdf (2 págs, en español, pensada para móvil, sin precio). NUNCA el deck de University Soccer. Llamada: Calendly.</t>
        </is>
      </c>
    </row>
    <row r="12" ht="75" customHeight="1">
      <c r="A12" s="6" t="inlineStr">
        <is>
          <t>Omar Escamilla / omare815 — CONFIRMADO mismo lead que WhatsApp +52 1 81 3408 2672 (Gabriel y Rafael)</t>
        </is>
      </c>
      <c r="B12" s="6" t="inlineStr">
        <is>
          <t>17</t>
        </is>
      </c>
      <c r="C12" s="6" t="inlineStr">
        <is>
          <t>México (Monterrey, 2h de la frontera con Texas)</t>
        </is>
      </c>
      <c r="D12" s="6" t="inlineStr">
        <is>
          <t>Gemelos Gabriel (lateral izquierdo, 1.82m) y Rafael (medio, 1.82m) — Club Dallas FC filial México, titulares, buen nivel según el padre</t>
        </is>
      </c>
      <c r="E12" s="6" t="inlineStr">
        <is>
          <t>Llamada realizada</t>
        </is>
      </c>
      <c r="F12" s="6" t="inlineStr">
        <is>
          <t>Tienen vídeo del año pasado + uno actualizado en camino (semanas)</t>
        </is>
      </c>
      <c r="G12" s="6" t="inlineStr">
        <is>
          <t>Sí — edad, nivel y plazo (agosto 2027) confirmados por el padre</t>
        </is>
      </c>
      <c r="H12" s="12" t="inlineStr">
        <is>
          <t>Follow-up enviado el 13/10. Si no contesta en 7 días (20/10): un último mensaje corto y pasar a 'frío'. No bajar más el precio.</t>
        </is>
      </c>
      <c r="I12" s="6" t="inlineStr">
        <is>
          <t>2026-10-13</t>
        </is>
      </c>
      <c r="J12" s="12"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 | 17/09 objeción: precio alto 'x2', quiere evaluación antes de decidir (qué beca y qué división). 18/09 oferta de Joel por niño: pago único $2.000 (en vez de $2.500) o 2 plazos $250 + $2.500 (en vez de $3.500). 27/09 Omar: 'la próxima semana te envío vídeo y datos'. Sin datos desde entonces. | 13/10: Joel envió el follow-up pidiendo vídeo/datos con salida elegante.</t>
        </is>
      </c>
      <c r="K12" s="12" t="inlineStr">
        <is>
          <t>1er DM: sin adjuntos. Tras cualificar (nivel + vídeo): ficha Always-Up-Becas-EEUU.pdf (2 págs, en español, pensada para móvil, sin precio). NUNCA el deck de University Soccer. Llamada: Calendly.</t>
        </is>
      </c>
    </row>
    <row r="13">
      <c r="A13" s="6" t="inlineStr">
        <is>
          <t>Angelica Suarez Rivera / angelicamiami</t>
        </is>
      </c>
      <c r="B13" s="6" t="inlineStr">
        <is>
          <t>10</t>
        </is>
      </c>
      <c r="C13" s="6" t="inlineStr">
        <is>
          <t>EEUU (Miami)</t>
        </is>
      </c>
      <c r="D13" s="6" t="inlineStr"/>
      <c r="E13" s="6" t="inlineStr">
        <is>
          <t>Cualificado</t>
        </is>
      </c>
      <c r="F13" s="6" t="inlineStr">
        <is>
          <t>No</t>
        </is>
      </c>
      <c r="G13" s="6" t="inlineStr">
        <is>
          <t>Parcial — edad muy temprana para evaluar</t>
        </is>
      </c>
      <c r="H13" s="12" t="inlineStr">
        <is>
          <t>Enviar guia-becas.md</t>
        </is>
      </c>
      <c r="I13" s="6" t="inlineStr">
        <is>
          <t>2026-08</t>
        </is>
      </c>
      <c r="J13" s="12" t="inlineStr">
        <is>
          <t>Pidió la guía explícitamente</t>
        </is>
      </c>
      <c r="K13" s="12" t="inlineStr">
        <is>
          <t>1er DM: sin adjuntos. Tras cualificar (nivel + vídeo): ficha Always-Up-Becas-EEUU.pdf (2 págs, en español, pensada para móvil, sin precio). NUNCA el deck de University Soccer. Llamada: Calendly.</t>
        </is>
      </c>
    </row>
    <row r="14">
      <c r="A14" s="6" t="inlineStr">
        <is>
          <t>Ana Aida Uribe / aauribe</t>
        </is>
      </c>
      <c r="B14" s="6" t="inlineStr"/>
      <c r="C14" s="6" t="inlineStr"/>
      <c r="D14" s="6" t="inlineStr">
        <is>
          <t>Entra a último año en agosto, gradúa mayo 2027</t>
        </is>
      </c>
      <c r="E14" s="6" t="inlineStr">
        <is>
          <t>Cualificado</t>
        </is>
      </c>
      <c r="F14" s="6" t="inlineStr">
        <is>
          <t>No</t>
        </is>
      </c>
      <c r="G14" s="6" t="inlineStr">
        <is>
          <t>Sí, pero enfriado</t>
        </is>
      </c>
      <c r="H14" s="12" t="inlineStr">
        <is>
          <t>Reactivar — el enlace genérico anterior no tuvo CTA claro</t>
        </is>
      </c>
      <c r="I14" s="6" t="inlineStr">
        <is>
          <t>2026-08</t>
        </is>
      </c>
      <c r="J14" s="12" t="inlineStr">
        <is>
          <t>Conversación avanzada que se enfrió</t>
        </is>
      </c>
      <c r="K14" s="12" t="inlineStr">
        <is>
          <t>1er DM: sin adjuntos. Tras cualificar (nivel + vídeo): ficha Always-Up-Becas-EEUU.pdf (2 págs, en español, pensada para móvil, sin precio). NUNCA el deck de University Soccer. Llamada: Calendly.</t>
        </is>
      </c>
    </row>
    <row r="15">
      <c r="A15" s="6" t="inlineStr">
        <is>
          <t>Jeinz Alzate / jeinzalzate</t>
        </is>
      </c>
      <c r="B15" s="6" t="inlineStr">
        <is>
          <t>14</t>
        </is>
      </c>
      <c r="C15" s="6" t="inlineStr">
        <is>
          <t>EEUU (Florida)</t>
        </is>
      </c>
      <c r="D15" s="6" t="inlineStr">
        <is>
          <t>Terminó temporada en academia</t>
        </is>
      </c>
      <c r="E15" s="6" t="inlineStr">
        <is>
          <t>Cualificado</t>
        </is>
      </c>
      <c r="F15" s="6" t="inlineStr">
        <is>
          <t>No</t>
        </is>
      </c>
      <c r="G15" s="6" t="inlineStr">
        <is>
          <t>Parcial — edad temprana</t>
        </is>
      </c>
      <c r="H15" s="12" t="inlineStr">
        <is>
          <t>Seguir conversación</t>
        </is>
      </c>
      <c r="I15" s="6" t="inlineStr">
        <is>
          <t>2026-08</t>
        </is>
      </c>
      <c r="J15" s="12" t="inlineStr"/>
      <c r="K15" s="12" t="inlineStr">
        <is>
          <t>1er DM: sin adjuntos. Tras cualificar (nivel + vídeo): ficha Always-Up-Becas-EEUU.pdf (2 págs, en español, pensada para móvil, sin precio). NUNCA el deck de University Soccer. Llamada: Calendly.</t>
        </is>
      </c>
    </row>
    <row r="16">
      <c r="A16" s="6" t="inlineStr">
        <is>
          <t>Anita / ani_0487</t>
        </is>
      </c>
      <c r="B16" s="6" t="inlineStr">
        <is>
          <t>16</t>
        </is>
      </c>
      <c r="C16" s="6" t="inlineStr"/>
      <c r="D16" s="6" t="inlineStr">
        <is>
          <t>Delantero, estudiando</t>
        </is>
      </c>
      <c r="E16" s="6" t="inlineStr">
        <is>
          <t>Cualificado</t>
        </is>
      </c>
      <c r="F16" s="6" t="inlineStr">
        <is>
          <t>No</t>
        </is>
      </c>
      <c r="G16" s="6" t="inlineStr">
        <is>
          <t>Sí</t>
        </is>
      </c>
      <c r="H16" s="12" t="inlineStr">
        <is>
          <t>Responder pregunta directa sobre inscripción</t>
        </is>
      </c>
      <c r="I16" s="6" t="inlineStr">
        <is>
          <t>2026-08</t>
        </is>
      </c>
      <c r="J16" s="12" t="inlineStr"/>
      <c r="K16" s="12" t="inlineStr">
        <is>
          <t>1er DM: sin adjuntos. Tras cualificar (nivel + vídeo): ficha Always-Up-Becas-EEUU.pdf (2 págs, en español, pensada para móvil, sin precio). NUNCA el deck de University Soccer. Llamada: Calendly.</t>
        </is>
      </c>
    </row>
    <row r="17">
      <c r="A17" s="6" t="inlineStr">
        <is>
          <t>Margarita Vanegas / margaritavanegasoficial</t>
        </is>
      </c>
      <c r="B17" s="6" t="inlineStr"/>
      <c r="C17" s="6" t="inlineStr">
        <is>
          <t>Colombia</t>
        </is>
      </c>
      <c r="D17" s="6" t="inlineStr">
        <is>
          <t>Baloncesto — armador zurdo</t>
        </is>
      </c>
      <c r="E17" s="6" t="inlineStr">
        <is>
          <t>Cualificado</t>
        </is>
      </c>
      <c r="F17" s="6" t="inlineStr">
        <is>
          <t>No</t>
        </is>
      </c>
      <c r="G17" s="6" t="inlineStr">
        <is>
          <t>Sí</t>
        </is>
      </c>
      <c r="H17" s="12" t="inlineStr">
        <is>
          <t>Pedir vídeo y notas académicas</t>
        </is>
      </c>
      <c r="I17" s="6" t="inlineStr">
        <is>
          <t>2026-08</t>
        </is>
      </c>
      <c r="J17" s="12" t="inlineStr">
        <is>
          <t>Confirmado: Always Up sí trabaja otros deportes, no solo fútbol</t>
        </is>
      </c>
      <c r="K17" s="12" t="inlineStr">
        <is>
          <t>1er DM: sin adjuntos. Tras cualificar (nivel + vídeo): ficha Always-Up-Becas-EEUU.pdf (2 págs, en español, pensada para móvil, sin precio). NUNCA el deck de University Soccer. Llamada: Calendly.</t>
        </is>
      </c>
    </row>
    <row r="18">
      <c r="A18" s="6" t="inlineStr">
        <is>
          <t>Edwin Serrato / edwinserrato84</t>
        </is>
      </c>
      <c r="B18" s="6" t="inlineStr">
        <is>
          <t>13</t>
        </is>
      </c>
      <c r="C18" s="6" t="inlineStr">
        <is>
          <t>Colombia</t>
        </is>
      </c>
      <c r="D18" s="6" t="inlineStr">
        <is>
          <t>Interior/volante medio</t>
        </is>
      </c>
      <c r="E18" s="6" t="inlineStr">
        <is>
          <t>Cualificado</t>
        </is>
      </c>
      <c r="F18" s="6" t="inlineStr">
        <is>
          <t>Sí</t>
        </is>
      </c>
      <c r="G18" s="6" t="inlineStr">
        <is>
          <t>Parcial — falta situación académica</t>
        </is>
      </c>
      <c r="H18" s="12" t="inlineStr">
        <is>
          <t>Pedir situación académica</t>
        </is>
      </c>
      <c r="I18" s="6" t="inlineStr">
        <is>
          <t>2026-08</t>
        </is>
      </c>
      <c r="J18" s="12" t="inlineStr">
        <is>
          <t>Cuenta confirmada por Joel — verificar en próximo barrido</t>
        </is>
      </c>
      <c r="K18" s="12" t="inlineStr">
        <is>
          <t>1er DM: sin adjuntos. Tras cualificar (nivel + vídeo): ficha Always-Up-Becas-EEUU.pdf (2 págs, en español, pensada para móvil, sin precio). NUNCA el deck de University Soccer. Llamada: Calendly.</t>
        </is>
      </c>
    </row>
    <row r="19">
      <c r="A19" s="6" t="inlineStr">
        <is>
          <t>Juan Roberto / juan_roberto_16</t>
        </is>
      </c>
      <c r="B19" s="6" t="inlineStr"/>
      <c r="C19" s="6" t="inlineStr"/>
      <c r="D19" s="6" t="inlineStr"/>
      <c r="E19" s="6" t="inlineStr">
        <is>
          <t>Nuevo</t>
        </is>
      </c>
      <c r="F19" s="6" t="inlineStr">
        <is>
          <t>No</t>
        </is>
      </c>
      <c r="G19" s="6" t="inlineStr">
        <is>
          <t>No — respuesta muy breve</t>
        </is>
      </c>
      <c r="H19" s="12" t="inlineStr">
        <is>
          <t>Verificar que el mensaje le llegó bien (aviso de cuenta restringida)</t>
        </is>
      </c>
      <c r="I19" s="6" t="inlineStr">
        <is>
          <t>2026-08</t>
        </is>
      </c>
      <c r="J19" s="12" t="inlineStr"/>
      <c r="K19" s="12" t="inlineStr">
        <is>
          <t>1er DM: sin adjuntos. Tras cualificar (nivel + vídeo): ficha Always-Up-Becas-EEUU.pdf (2 págs, en español, pensada para móvil, sin precio). NUNCA el deck de University Soccer. Llamada: Calendly.</t>
        </is>
      </c>
    </row>
    <row r="20" ht="60" customHeight="1">
      <c r="A20" s="6" t="inlineStr">
        <is>
          <t>Daniel (apellido/@ de Instagram pendiente de confirmar)</t>
        </is>
      </c>
      <c r="B20" s="6" t="inlineStr">
        <is>
          <t>17 (nacido sept. 2009)</t>
        </is>
      </c>
      <c r="C20" s="6" t="inlineStr">
        <is>
          <t>España (recién mudado desde EEUU, ciudad por confirmar)</t>
        </is>
      </c>
      <c r="D20" s="6" t="inlineStr">
        <is>
          <t>Jugó MLS NEXT U17 el año pasado en EEUU (nivel alto) — posición por confirmar</t>
        </is>
      </c>
      <c r="E20" s="6" t="inlineStr">
        <is>
          <t>Cualificado</t>
        </is>
      </c>
      <c r="F20" s="6" t="inlineStr">
        <is>
          <t>No pedido todavía</t>
        </is>
      </c>
      <c r="G20" s="6" t="inlineStr">
        <is>
          <t>Sí — nivel MLS NEXT es señal fuerte, falta confirmar posición y club actual</t>
        </is>
      </c>
      <c r="H20" s="12" t="inlineStr">
        <is>
          <t>Esperar respuesta a las 3 preguntas (posición / ubicación en España / club actual) — probablemente avanza rápido a Calendly, es un lead fuerte</t>
        </is>
      </c>
      <c r="I20" s="6" t="inlineStr">
        <is>
          <t>2026-09-21</t>
        </is>
      </c>
      <c r="J20" s="12" t="inlineStr">
        <is>
          <t>Pregunta genuina sobre 1º vs 2º de Bachillerato y elegibilidad NCAA — no se improvisó respuesta, se remitió a la evaluación completa con el equipo especializado. Edad+plazo+nivel ya fuertes antes incluso de pedir vídeo.</t>
        </is>
      </c>
      <c r="K20" s="12" t="inlineStr">
        <is>
          <t>1er DM: sin adjuntos. Tras cualificar (nivel + vídeo): ficha Always-Up-Becas-EEUU.pdf (2 págs, en español, pensada para móvil, sin precio). NUNCA el deck de University Soccer. Llamada: Calendly.</t>
        </is>
      </c>
    </row>
  </sheetData>
  <autoFilter ref="A5:K20"/>
  <mergeCells count="3">
    <mergeCell ref="A3:J4"/>
    <mergeCell ref="A1:J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20" customWidth="1" min="2" max="2"/>
    <col width="16" customWidth="1" min="3" max="3"/>
    <col width="16" customWidth="1" min="4" max="4"/>
    <col width="18" customWidth="1" min="5" max="5"/>
    <col width="20" customWidth="1" min="6" max="6"/>
    <col width="14" customWidth="1" min="7" max="7"/>
    <col width="12" customWidth="1" min="8" max="8"/>
  </cols>
  <sheetData>
    <row r="1">
      <c r="A1" s="1" t="inlineStr">
        <is>
          <t>Dashboard — funnel por línea de negocio</t>
        </is>
      </c>
    </row>
    <row r="2">
      <c r="A2" s="2" t="inlineStr">
        <is>
          <t>Estado actual de cada línea. Actualizar Estado/Etapa en las pestañas de segmento — esto se recalcula solo.</t>
        </is>
      </c>
    </row>
    <row r="3" ht="60" customHeight="1">
      <c r="A3" s="10"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11" t="inlineStr">
        <is>
          <t>TEAM EXPERIENCE  (Segmento A + Segmento B)</t>
        </is>
      </c>
    </row>
    <row r="7">
      <c r="A7" s="5" t="inlineStr">
        <is>
          <t>Pendiente investigar</t>
        </is>
      </c>
      <c r="B7" s="5" t="inlineStr">
        <is>
          <t>Listo para enviar</t>
        </is>
      </c>
      <c r="C7" s="5" t="inlineStr">
        <is>
          <t>Enviado</t>
        </is>
      </c>
      <c r="D7" s="5" t="inlineStr">
        <is>
          <t>Respondido</t>
        </is>
      </c>
      <c r="E7" s="5" t="inlineStr">
        <is>
          <t>Llamada agendada</t>
        </is>
      </c>
      <c r="F7" s="5" t="inlineStr">
        <is>
          <t>Llamada realizada</t>
        </is>
      </c>
      <c r="G7" s="5" t="inlineStr">
        <is>
          <t>Cerrado</t>
        </is>
      </c>
      <c r="H7" s="5" t="inlineStr">
        <is>
          <t>Perdido</t>
        </is>
      </c>
    </row>
    <row r="8">
      <c r="A8" s="6">
        <f>COUNTIF('Segmento A - Clubes'!I2:I300,"Pendiente investigar")+COUNTIF('Segmento B - America'!H2:H300,"Pendiente investigar")</f>
        <v/>
      </c>
      <c r="B8" s="6">
        <f>COUNTIF('Segmento A - Clubes'!I2:I300,"Listo para enviar")+COUNTIF('Segmento B - America'!H2:H300,"Listo para enviar")</f>
        <v/>
      </c>
      <c r="C8" s="6">
        <f>COUNTIF('Segmento A - Clubes'!I2:I300,"Enviado")+COUNTIF('Segmento B - America'!H2:H300,"Enviado")</f>
        <v/>
      </c>
      <c r="D8" s="6">
        <f>COUNTIF('Segmento A - Clubes'!I2:I300,"Respondido")+COUNTIF('Segmento B - America'!H2:H300,"Respondido")</f>
        <v/>
      </c>
      <c r="E8" s="6">
        <f>COUNTIF('Segmento A - Clubes'!I2:I300,"Llamada agendada")+COUNTIF('Segmento B - America'!H2:H300,"Llamada agendada")</f>
        <v/>
      </c>
      <c r="F8" s="6">
        <f>COUNTIF('Segmento A - Clubes'!I2:I300,"Llamada realizada")+COUNTIF('Segmento B - America'!H2:H300,"Llamada realizada")</f>
        <v/>
      </c>
      <c r="G8" s="6">
        <f>COUNTIF('Segmento A - Clubes'!I2:I300,"Cerrado")+COUNTIF('Segmento B - America'!H2:H300,"Cerrado")</f>
        <v/>
      </c>
      <c r="H8" s="6">
        <f>COUNTIF('Segmento A - Clubes'!I2:I300,"Perdido")+COUNTIF('Segmento B - America'!H2:H300,"Perdido")</f>
        <v/>
      </c>
    </row>
    <row r="10">
      <c r="A10" s="11" t="inlineStr">
        <is>
          <t>BECAS  (Segmento C)</t>
        </is>
      </c>
    </row>
    <row r="11">
      <c r="A11" s="5" t="inlineStr">
        <is>
          <t>Nuevo</t>
        </is>
      </c>
      <c r="B11" s="5" t="inlineStr">
        <is>
          <t>Cualificado</t>
        </is>
      </c>
      <c r="C11" s="5" t="inlineStr">
        <is>
          <t>Llamada agendada</t>
        </is>
      </c>
      <c r="D11" s="5" t="inlineStr">
        <is>
          <t>Llamada realizada</t>
        </is>
      </c>
      <c r="E11" s="5" t="inlineStr">
        <is>
          <t>Cerrado</t>
        </is>
      </c>
      <c r="F11" s="5" t="inlineStr">
        <is>
          <t>Perdido</t>
        </is>
      </c>
    </row>
    <row r="12">
      <c r="A12" s="6">
        <f>COUNTIF('Segmento C - Becas'!E2:E300,"Nuevo")</f>
        <v/>
      </c>
      <c r="B12" s="6">
        <f>COUNTIF('Segmento C - Becas'!E2:E300,"Cualificado")</f>
        <v/>
      </c>
      <c r="C12" s="6">
        <f>COUNTIF('Segmento C - Becas'!E2:E300,"Llamada agendada")</f>
        <v/>
      </c>
      <c r="D12" s="6">
        <f>COUNTIF('Segmento C - Becas'!E2:E300,"Llamada realizada")</f>
        <v/>
      </c>
      <c r="E12" s="6">
        <f>COUNTIF('Segmento C - Becas'!E2:E300,"Cerrado")</f>
        <v/>
      </c>
      <c r="F12" s="6">
        <f>COUNTIF('Segmento C - Becas'!E2:E300,"Perdido")</f>
        <v/>
      </c>
    </row>
    <row r="14">
      <c r="A14" s="11" t="inlineStr">
        <is>
          <t>INTERNATIONAL PROGRAM (Real Sociedad)</t>
        </is>
      </c>
    </row>
    <row r="15">
      <c r="A15" s="10" t="inlineStr">
        <is>
          <t>0 leads activos todavía — esta sección se activa con el primer lead real. Ver lineas-de-negocio.md línea 3. No crear pestaña de seguimiento hasta entonces.</t>
        </is>
      </c>
    </row>
    <row r="17">
      <c r="A17" s="11" t="inlineStr">
        <is>
          <t>PLAYER OPPORTUNITIES (Alemania/España) Y PLAYER DEVELOPMENT</t>
        </is>
      </c>
    </row>
    <row r="18">
      <c r="A18" s="10"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8" defaultRowHeight="15"/>
  <cols>
    <col width="14" customWidth="1" min="1" max="1"/>
    <col width="20" customWidth="1" min="2" max="2"/>
    <col width="26" customWidth="1" min="3" max="3"/>
    <col width="30" customWidth="1" min="4" max="4"/>
    <col width="18" customWidth="1" min="5" max="5"/>
    <col width="40" customWidth="1" min="6" max="6"/>
  </cols>
  <sheetData>
    <row r="1">
      <c r="A1" s="1" t="inlineStr">
        <is>
          <t>LinkedIn — plan diario</t>
        </is>
      </c>
    </row>
    <row r="2">
      <c r="A2" s="2" t="inlineStr">
        <is>
          <t>Rellenar cada día que trabajes outreach.</t>
        </is>
      </c>
    </row>
    <row r="3" ht="60" customHeight="1">
      <c r="A3" s="10"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c r="A5" s="5" t="inlineStr">
        <is>
          <t>Fecha</t>
        </is>
      </c>
      <c r="B5" s="5" t="inlineStr">
        <is>
          <t>Emails enviados (meta 5)</t>
        </is>
      </c>
      <c r="C5" s="5" t="inlineStr">
        <is>
          <t>Búsquedas nuevas cualificadas (meta 5)</t>
        </is>
      </c>
      <c r="D5" s="5" t="inlineStr">
        <is>
          <t>Conexiones LinkedIn con mensaje personalizado (meta 5)</t>
        </is>
      </c>
      <c r="E5" s="5" t="inlineStr">
        <is>
          <t>Respuestas recibidas</t>
        </is>
      </c>
      <c r="F5" s="5" t="inlineStr">
        <is>
          <t>Notas</t>
        </is>
      </c>
    </row>
    <row r="6">
      <c r="A6" s="6" t="inlineStr"/>
      <c r="B6" s="6" t="inlineStr"/>
      <c r="C6" s="6" t="inlineStr"/>
      <c r="D6" s="6" t="inlineStr"/>
      <c r="E6" s="6" t="inlineStr"/>
      <c r="F6" s="12" t="inlineStr"/>
    </row>
    <row r="7">
      <c r="A7" s="6" t="inlineStr"/>
      <c r="B7" s="6" t="inlineStr"/>
      <c r="C7" s="6" t="inlineStr"/>
      <c r="D7" s="6" t="inlineStr"/>
      <c r="E7" s="6" t="inlineStr"/>
      <c r="F7" s="12" t="inlineStr"/>
    </row>
    <row r="8">
      <c r="A8" s="6" t="inlineStr"/>
      <c r="B8" s="6" t="inlineStr"/>
      <c r="C8" s="6" t="inlineStr"/>
      <c r="D8" s="6" t="inlineStr"/>
      <c r="E8" s="6" t="inlineStr"/>
      <c r="F8" s="12" t="inlineStr"/>
    </row>
    <row r="9">
      <c r="A9" s="6" t="inlineStr"/>
      <c r="B9" s="6" t="inlineStr"/>
      <c r="C9" s="6" t="inlineStr"/>
      <c r="D9" s="6" t="inlineStr"/>
      <c r="E9" s="6" t="inlineStr"/>
      <c r="F9" s="12" t="inlineStr"/>
    </row>
    <row r="10">
      <c r="A10" s="6" t="inlineStr"/>
      <c r="B10" s="6" t="inlineStr"/>
      <c r="C10" s="6" t="inlineStr"/>
      <c r="D10" s="6" t="inlineStr"/>
      <c r="E10" s="6" t="inlineStr"/>
      <c r="F10" s="12" t="inlineStr"/>
    </row>
    <row r="11">
      <c r="A11" s="6" t="inlineStr"/>
      <c r="B11" s="6" t="inlineStr"/>
      <c r="C11" s="6" t="inlineStr"/>
      <c r="D11" s="6" t="inlineStr"/>
      <c r="E11" s="6" t="inlineStr"/>
      <c r="F11" s="12" t="inlineStr"/>
    </row>
    <row r="12">
      <c r="A12" s="6" t="inlineStr"/>
      <c r="B12" s="6" t="inlineStr"/>
      <c r="C12" s="6" t="inlineStr"/>
      <c r="D12" s="6" t="inlineStr"/>
      <c r="E12" s="6" t="inlineStr"/>
      <c r="F12" s="12" t="inlineStr"/>
    </row>
    <row r="13">
      <c r="A13" s="6" t="inlineStr">
        <is>
          <t>Total semana</t>
        </is>
      </c>
      <c r="B13" s="6">
        <f>SUM(B6:B12)</f>
        <v/>
      </c>
      <c r="C13" s="6">
        <f>SUM(C6:C12)</f>
        <v/>
      </c>
      <c r="D13" s="6">
        <f>SUM(D6:D12)</f>
        <v/>
      </c>
      <c r="E13" s="6">
        <f>SUM(E6:E12)</f>
        <v/>
      </c>
      <c r="F13" s="6" t="n"/>
    </row>
  </sheetData>
  <mergeCells count="3">
    <mergeCell ref="A2:F2"/>
    <mergeCell ref="A3:F4"/>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8" defaultRowHeight="15"/>
  <cols>
    <col width="14" customWidth="1" min="1" max="1"/>
    <col width="26" customWidth="1" min="2" max="2"/>
    <col width="40" customWidth="1" min="3" max="3"/>
    <col width="22" customWidth="1" min="4" max="4"/>
    <col width="40" customWidth="1" min="5" max="5"/>
    <col width="20" customWidth="1" min="6" max="6"/>
  </cols>
  <sheetData>
    <row r="1">
      <c r="A1" s="1" t="inlineStr">
        <is>
          <t>Oportunidades y notas sueltas</t>
        </is>
      </c>
    </row>
    <row r="2">
      <c r="A2" s="2" t="inlineStr">
        <is>
          <t>Ideas que surgen investigando, sin operativa de venta propia todavía.</t>
        </is>
      </c>
    </row>
    <row r="3" ht="30" customHeight="1">
      <c r="A3" s="10" t="inlineStr">
        <is>
          <t>Backlog ligero para líneas que aún no tienen operativa propia de venta — no crear pestañas dedicadas hasta que Joel las eleve de prioridad (ver roadmap-maestro.md).</t>
        </is>
      </c>
    </row>
    <row r="4">
      <c r="A4" s="5" t="inlineStr">
        <is>
          <t>Fecha</t>
        </is>
      </c>
      <c r="B4" s="5" t="inlineStr">
        <is>
          <t>Área</t>
        </is>
      </c>
      <c r="C4" s="5" t="inlineStr">
        <is>
          <t>Idea/Oportunidad</t>
        </is>
      </c>
      <c r="D4" s="5" t="inlineStr">
        <is>
          <t>Origen</t>
        </is>
      </c>
      <c r="E4" s="5" t="inlineStr">
        <is>
          <t>Siguiente paso</t>
        </is>
      </c>
      <c r="F4" s="5" t="inlineStr">
        <is>
          <t>Estado</t>
        </is>
      </c>
    </row>
    <row r="5">
      <c r="A5" s="6" t="inlineStr">
        <is>
          <t>2026-08</t>
        </is>
      </c>
      <c r="B5" s="6" t="inlineStr">
        <is>
          <t>International Program (Real Sociedad)</t>
        </is>
      </c>
      <c r="C5" s="12" t="inlineStr">
        <is>
          <t>Cerrar % de comisión con la Real Sociedad</t>
        </is>
      </c>
      <c r="D5" s="6" t="inlineStr">
        <is>
          <t>roadmap-maestro.md #6</t>
        </is>
      </c>
      <c r="E5" s="12" t="inlineStr">
        <is>
          <t>Bajado de prioridad — no mueve el cuello de botella actual</t>
        </is>
      </c>
      <c r="F5" s="6" t="inlineStr">
        <is>
          <t>En espera</t>
        </is>
      </c>
    </row>
    <row r="6">
      <c r="A6" s="6" t="inlineStr">
        <is>
          <t>2026-08</t>
        </is>
      </c>
      <c r="B6" s="6" t="inlineStr">
        <is>
          <t>Puerto Rico / SADE Soccer Academy</t>
        </is>
      </c>
      <c r="C6" s="12" t="inlineStr">
        <is>
          <t>Showcase conectado a la Real Sociedad, facilitado por David</t>
        </is>
      </c>
      <c r="D6" s="6" t="inlineStr">
        <is>
          <t>lineas-de-negocio.md</t>
        </is>
      </c>
      <c r="E6" s="12" t="inlineStr">
        <is>
          <t>Confirmado que pasa por Always Up — seguir según avance David</t>
        </is>
      </c>
      <c r="F6" s="6" t="inlineStr">
        <is>
          <t>En marcha (fuera de Joel)</t>
        </is>
      </c>
    </row>
    <row r="7">
      <c r="A7" s="6" t="inlineStr">
        <is>
          <t>2026-07</t>
        </is>
      </c>
      <c r="B7" s="6" t="inlineStr">
        <is>
          <t>Alemania/España</t>
        </is>
      </c>
      <c r="C7" s="12" t="inlineStr">
        <is>
          <t>Oportunidades profesionales — objetivo 2027</t>
        </is>
      </c>
      <c r="D7" s="6" t="inlineStr">
        <is>
          <t>CLAUDE.md</t>
        </is>
      </c>
      <c r="E7" s="12" t="inlineStr">
        <is>
          <t>Sin estructurar todavía, no es foco actual</t>
        </is>
      </c>
      <c r="F7" s="6" t="inlineStr">
        <is>
          <t>Sin empezar</t>
        </is>
      </c>
    </row>
    <row r="8">
      <c r="A8" s="6" t="inlineStr">
        <is>
          <t>2026-07</t>
        </is>
      </c>
      <c r="B8" s="6" t="inlineStr">
        <is>
          <t>Always Up Player Development</t>
        </is>
      </c>
      <c r="C8" s="12" t="inlineStr">
        <is>
          <t>Academia de formación de jugadores (línea 6)</t>
        </is>
      </c>
      <c r="D8" s="6" t="inlineStr">
        <is>
          <t>lineas-de-negocio.md</t>
        </is>
      </c>
      <c r="E8" s="12" t="inlineStr">
        <is>
          <t>Ritmo propio, ligado a marca personal — sesión aparte</t>
        </is>
      </c>
      <c r="F8" s="6" t="inlineStr">
        <is>
          <t>Sin empezar</t>
        </is>
      </c>
    </row>
    <row r="9">
      <c r="A9" s="6" t="inlineStr">
        <is>
          <t>2026-08-29</t>
        </is>
      </c>
      <c r="B9" s="6" t="inlineStr">
        <is>
          <t>Segmento B (NCAA)</t>
        </is>
      </c>
      <c r="C9" s="12" t="inlineStr">
        <is>
          <t>Programas NCAA D2/D3 sin partnership de tours visible</t>
        </is>
      </c>
      <c r="D9" s="6" t="inlineStr">
        <is>
          <t>plan-ventas-maestro.md</t>
        </is>
      </c>
      <c r="E9" s="12" t="inlineStr">
        <is>
          <t>Requiere sesión de investigación dedicada — búsqueda rápida no encontró candidatos concretos</t>
        </is>
      </c>
      <c r="F9" s="6"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2026-10-13T22:33:22Z</dcterms:modified>
</cp:coreProperties>
</file>