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y" sheetId="1" state="visible" r:id="rId1"/>
    <sheet name="Dashboard" sheetId="2" state="visible" r:id="rId2"/>
    <sheet name="Segmento A - Clubes" sheetId="3" state="visible" r:id="rId3"/>
    <sheet name="Segmento B - America" sheetId="4" state="visible" r:id="rId4"/>
    <sheet name="Segmento C - Becas" sheetId="5" state="visible" r:id="rId5"/>
    <sheet name="LinkedIn - Plan diario" sheetId="6" state="visible" r:id="rId6"/>
    <sheet name="Oportunidades y notas" sheetId="7" state="visible" r:id="rId7"/>
  </sheets>
  <definedNames>
    <definedName name="_xlnm._FilterDatabase" localSheetId="2" hidden="1">'Segmento A - Clubes'!$A$5:$O$17</definedName>
    <definedName name="_xlnm._FilterDatabase" localSheetId="3" hidden="1">'Segmento B - America'!$A$5:$N$13</definedName>
    <definedName name="_xlnm._FilterDatabase" localSheetId="4" hidden="1">'Segmento C - Becas'!$A$5:$J$19</definedName>
    <definedName name="_xlnm._FilterDatabase" localSheetId="6" hidden="1">'Oportunidades y notas'!$A$4:$F$9</definedName>
  </definedNames>
  <calcPr calcId="124519" fullCalcOnLoad="1"/>
</workbook>
</file>

<file path=xl/styles.xml><?xml version="1.0" encoding="utf-8"?>
<styleSheet xmlns="http://schemas.openxmlformats.org/spreadsheetml/2006/main">
  <numFmts count="1">
    <numFmt numFmtId="164" formatCode="DD/MM/YYYY"/>
  </numFmts>
  <fonts count="11">
    <font>
      <name val="Calibri"/>
      <family val="2"/>
      <color theme="1"/>
      <sz val="11"/>
      <scheme val="minor"/>
    </font>
    <font>
      <name val="Arial"/>
      <b val="1"/>
      <color rgb="001F4E78"/>
      <sz val="14"/>
    </font>
    <font>
      <name val="Arial"/>
      <i val="1"/>
      <color rgb="00666666"/>
      <sz val="9"/>
    </font>
    <font>
      <name val="Arial"/>
      <b val="1"/>
      <color rgb="000000FF"/>
      <sz val="10"/>
    </font>
    <font>
      <name val="Arial"/>
      <b val="1"/>
      <color rgb="00C00000"/>
      <sz val="12"/>
    </font>
    <font>
      <name val="Arial"/>
      <b val="1"/>
      <color rgb="00FFFFFF"/>
      <sz val="10"/>
    </font>
    <font>
      <name val="Arial"/>
      <sz val="10"/>
    </font>
    <font>
      <name val="Arial"/>
      <b val="1"/>
      <color rgb="001F4E78"/>
      <sz val="12"/>
    </font>
    <font>
      <name val="Arial"/>
      <b val="1"/>
      <sz val="10"/>
    </font>
    <font>
      <name val="Arial"/>
      <i val="1"/>
      <color rgb="007F6000"/>
      <sz val="9"/>
    </font>
    <font>
      <name val="Arial"/>
      <b val="1"/>
      <color rgb="001F4E78"/>
      <sz val="11"/>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9" fillId="3" borderId="0" applyAlignment="1" pivotButton="0" quotePrefix="0" xfId="0">
      <alignment vertical="top" wrapText="1"/>
    </xf>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6" customWidth="1" min="4" max="4"/>
    <col width="16" customWidth="1" min="5" max="5"/>
    <col width="18" customWidth="1" min="6" max="6"/>
    <col width="12" customWidth="1" min="7" max="7"/>
  </cols>
  <sheetData>
    <row r="1">
      <c r="A1" s="1" t="inlineStr">
        <is>
          <t>Plan de ventas — panel diario Always Up</t>
        </is>
      </c>
    </row>
    <row r="2">
      <c r="A2" s="2" t="inlineStr">
        <is>
          <t>Actualizar cada día de trabajo. Fecha de última actualización:</t>
        </is>
      </c>
      <c r="E2" s="3">
        <f>TODAY()</f>
        <v/>
      </c>
    </row>
    <row r="4">
      <c r="A4" s="4" t="inlineStr">
        <is>
          <t>🔴 URGENTE — mirar esto primero</t>
        </is>
      </c>
    </row>
    <row r="5">
      <c r="A5" s="5" t="inlineStr">
        <is>
          <t>Qué</t>
        </is>
      </c>
      <c r="B5" s="5" t="inlineStr">
        <is>
          <t>Cuántos ahora (se calcula solo)</t>
        </is>
      </c>
    </row>
    <row r="6">
      <c r="A6" s="6" t="inlineStr">
        <is>
          <t>Follow-ups de clubes atrasados (enviado hace más de 10 días, sin respuesta)</t>
        </is>
      </c>
      <c r="B6" s="6">
        <f>COUNTIFS('Segmento A - Clubes'!I2:I300,"Enviado",'Segmento A - Clubes'!M2:M300,"&lt;&gt;",'Segmento A - Clubes'!M2:M300,"&lt;"&amp;(TODAY()-10))+COUNTIFS('Segmento B - America'!H2:H300,"Enviado",'Segmento B - America'!L2:L300,"&lt;&gt;",'Segmento B - America'!L2:L300,"&lt;"&amp;(TODAY()-10))</f>
        <v/>
      </c>
    </row>
    <row r="7">
      <c r="A7" s="6" t="inlineStr">
        <is>
          <t>Leads de becas con llamada agendada (confirmar/preparar)</t>
        </is>
      </c>
      <c r="B7" s="6">
        <f>COUNTIF('Segmento C - Becas'!E2:E300,"Llamada agendada")</f>
        <v/>
      </c>
    </row>
    <row r="8">
      <c r="A8" s="6" t="inlineStr">
        <is>
          <t>Leads de becas cualificados sin próxima acción clara desde hace tiempo (revisar a mano)</t>
        </is>
      </c>
      <c r="B8" s="6">
        <f>COUNTIF('Segmento C - Becas'!E2:E300,"Cualificado")</f>
        <v/>
      </c>
    </row>
    <row r="10">
      <c r="A10" s="7" t="inlineStr">
        <is>
          <t>🟠 OUTBOUND — lo que generas tú hoy</t>
        </is>
      </c>
    </row>
    <row r="11">
      <c r="A11" s="5" t="inlineStr">
        <is>
          <t>Métrica</t>
        </is>
      </c>
      <c r="B11" s="5" t="inlineStr">
        <is>
          <t>Meta diaria</t>
        </is>
      </c>
      <c r="C11" s="5" t="inlineStr">
        <is>
          <t>Hecho hoy (rellenar tú)</t>
        </is>
      </c>
    </row>
    <row r="12">
      <c r="A12" s="6" t="inlineStr">
        <is>
          <t>Nuevos clubes/academias investigados</t>
        </is>
      </c>
      <c r="B12" s="6" t="n">
        <v>5</v>
      </c>
      <c r="C12" s="8" t="n"/>
    </row>
    <row r="13">
      <c r="A13" s="6" t="inlineStr">
        <is>
          <t>Emails de outreach enviados</t>
        </is>
      </c>
      <c r="B13" s="6" t="n">
        <v>5</v>
      </c>
      <c r="C13" s="8" t="n"/>
    </row>
    <row r="14">
      <c r="A14" s="6" t="inlineStr">
        <is>
          <t>Conexiones de LinkedIn con mensaje personalizado</t>
        </is>
      </c>
      <c r="B14" s="6" t="n">
        <v>5</v>
      </c>
      <c r="C14" s="8" t="n"/>
    </row>
    <row r="17">
      <c r="A17" s="7" t="inlineStr">
        <is>
          <t>🟢 INBOUND — lo que te llega a ti</t>
        </is>
      </c>
    </row>
    <row r="18">
      <c r="A18" s="5" t="inlineStr">
        <is>
          <t>Qué</t>
        </is>
      </c>
      <c r="B18" s="5" t="inlineStr">
        <is>
          <t>Cuántos ahora (se calcula solo)</t>
        </is>
      </c>
    </row>
    <row r="19">
      <c r="A19" s="6" t="inlineStr">
        <is>
          <t>Leads de becas nuevos sin cualificar todavía</t>
        </is>
      </c>
      <c r="B19" s="6">
        <f>COUNTIF('Segmento C - Becas'!E2:E300,"Nuevo")</f>
        <v/>
      </c>
    </row>
    <row r="21">
      <c r="A21" s="7" t="inlineStr">
        <is>
          <t>📊 PIPELINE — resumen por segmento (detalle completo en pestaña Dashboard)</t>
        </is>
      </c>
    </row>
    <row r="22">
      <c r="A22" s="5" t="inlineStr">
        <is>
          <t>Segmento</t>
        </is>
      </c>
      <c r="B22" s="5" t="inlineStr">
        <is>
          <t>Total en lista</t>
        </is>
      </c>
      <c r="C22" s="5" t="inlineStr">
        <is>
          <t>Listo para enviar</t>
        </is>
      </c>
      <c r="D22" s="5" t="inlineStr">
        <is>
          <t>Enviado</t>
        </is>
      </c>
      <c r="E22" s="5" t="inlineStr">
        <is>
          <t>Respondido</t>
        </is>
      </c>
      <c r="F22" s="5" t="inlineStr">
        <is>
          <t>Llamada agendada</t>
        </is>
      </c>
      <c r="G22" s="5" t="inlineStr">
        <is>
          <t>Cerrado</t>
        </is>
      </c>
    </row>
    <row r="23">
      <c r="A23" s="6" t="inlineStr">
        <is>
          <t>Segmento A — Clubes juveniles</t>
        </is>
      </c>
      <c r="B23" s="6">
        <f>COUNTA('Segmento A - Clubes'!A2:A300)</f>
        <v/>
      </c>
      <c r="C23" s="6">
        <f>COUNTIF('Segmento A - Clubes'!I2:I300,"Listo para enviar")</f>
        <v/>
      </c>
      <c r="D23" s="6">
        <f>COUNTIF('Segmento A - Clubes'!I2:I300,"Enviado")</f>
        <v/>
      </c>
      <c r="E23" s="6">
        <f>COUNTIF('Segmento A - Clubes'!I2:I300,"Respondido")</f>
        <v/>
      </c>
      <c r="F23" s="6">
        <f>COUNTIF('Segmento A - Clubes'!I2:I300,"Llamada agendada")</f>
        <v/>
      </c>
      <c r="G23" s="6">
        <f>COUNTIF('Segmento A - Clubes'!I2:I300,"Cerrado")</f>
        <v/>
      </c>
    </row>
    <row r="24">
      <c r="A24" s="6" t="inlineStr">
        <is>
          <t>Segmento B — Univ./clubes América</t>
        </is>
      </c>
      <c r="B24" s="6">
        <f>COUNTA('Segmento B - America'!A2:A300)</f>
        <v/>
      </c>
      <c r="C24" s="6">
        <f>COUNTIF('Segmento B - America'!H2:H300,"Listo para enviar")</f>
        <v/>
      </c>
      <c r="D24" s="6">
        <f>COUNTIF('Segmento B - America'!H2:H300,"Enviado")</f>
        <v/>
      </c>
      <c r="E24" s="6">
        <f>COUNTIF('Segmento B - America'!H2:H300,"Respondido")</f>
        <v/>
      </c>
      <c r="F24" s="6">
        <f>COUNTIF('Segmento B - America'!H2:H300,"Llamada agendada")</f>
        <v/>
      </c>
      <c r="G24" s="6">
        <f>COUNTIF('Segmento B - America'!H2:H300,"Cerrado")</f>
        <v/>
      </c>
    </row>
    <row r="26">
      <c r="A26" s="9" t="inlineStr">
        <is>
          <t>Segmento C — Becas</t>
        </is>
      </c>
    </row>
    <row r="27">
      <c r="A27" s="5" t="inlineStr">
        <is>
          <t>Etapa</t>
        </is>
      </c>
      <c r="B27" s="5" t="inlineStr">
        <is>
          <t>Total</t>
        </is>
      </c>
    </row>
    <row r="28">
      <c r="A28" s="6" t="inlineStr">
        <is>
          <t>Nuevo</t>
        </is>
      </c>
      <c r="B28" s="6">
        <f>COUNTIF('Segmento C - Becas'!E2:E300,"Nuevo")</f>
        <v/>
      </c>
    </row>
    <row r="29">
      <c r="A29" s="6" t="inlineStr">
        <is>
          <t>Cualificado</t>
        </is>
      </c>
      <c r="B29" s="6">
        <f>COUNTIF('Segmento C - Becas'!E2:E300,"Cualificado")</f>
        <v/>
      </c>
    </row>
    <row r="30">
      <c r="A30" s="6" t="inlineStr">
        <is>
          <t>Llamada agendada</t>
        </is>
      </c>
      <c r="B30" s="6">
        <f>COUNTIF('Segmento C - Becas'!E2:E300,"Llamada agendada")</f>
        <v/>
      </c>
    </row>
    <row r="31">
      <c r="A31" s="6" t="inlineStr">
        <is>
          <t>Llamada realizada</t>
        </is>
      </c>
      <c r="B31" s="6">
        <f>COUNTIF('Segmento C - Becas'!E2:E300,"Llamada realizada")</f>
        <v/>
      </c>
    </row>
    <row r="32">
      <c r="A32" s="6" t="inlineStr">
        <is>
          <t>Cerrado</t>
        </is>
      </c>
      <c r="B32" s="6">
        <f>COUNTIF('Segmento C - Becas'!E2:E300,"Cerrado")</f>
        <v/>
      </c>
    </row>
    <row r="33">
      <c r="A33" s="6" t="inlineStr">
        <is>
          <t>Perdido</t>
        </is>
      </c>
      <c r="B33" s="6">
        <f>COUNTIF('Segmento C - Becas'!E2:E300,"Perdido")</f>
        <v/>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20" customWidth="1" min="2" max="2"/>
    <col width="16" customWidth="1" min="3" max="3"/>
    <col width="16" customWidth="1" min="4" max="4"/>
    <col width="18" customWidth="1" min="5" max="5"/>
    <col width="20" customWidth="1" min="6" max="6"/>
    <col width="14" customWidth="1" min="7" max="7"/>
    <col width="12" customWidth="1" min="8" max="8"/>
  </cols>
  <sheetData>
    <row r="1">
      <c r="A1" s="1" t="inlineStr">
        <is>
          <t>Dashboard — funnel por línea de negocio</t>
        </is>
      </c>
    </row>
    <row r="2">
      <c r="A2" s="2" t="inlineStr">
        <is>
          <t>Estado actual de cada línea. Actualizar Estado/Etapa en las pestañas de segmento — esto se recalcula solo.</t>
        </is>
      </c>
    </row>
    <row r="3" ht="60" customHeight="1">
      <c r="A3" s="10"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11" t="inlineStr">
        <is>
          <t>TEAM EXPERIENCE  (Segmento A + Segmento B)</t>
        </is>
      </c>
    </row>
    <row r="7">
      <c r="A7" s="5" t="inlineStr">
        <is>
          <t>Pendiente investigar</t>
        </is>
      </c>
      <c r="B7" s="5" t="inlineStr">
        <is>
          <t>Listo para enviar</t>
        </is>
      </c>
      <c r="C7" s="5" t="inlineStr">
        <is>
          <t>Enviado</t>
        </is>
      </c>
      <c r="D7" s="5" t="inlineStr">
        <is>
          <t>Respondido</t>
        </is>
      </c>
      <c r="E7" s="5" t="inlineStr">
        <is>
          <t>Llamada agendada</t>
        </is>
      </c>
      <c r="F7" s="5" t="inlineStr">
        <is>
          <t>Llamada realizada</t>
        </is>
      </c>
      <c r="G7" s="5" t="inlineStr">
        <is>
          <t>Cerrado</t>
        </is>
      </c>
      <c r="H7" s="5" t="inlineStr">
        <is>
          <t>Perdido</t>
        </is>
      </c>
    </row>
    <row r="8">
      <c r="A8" s="6">
        <f>COUNTIF('Segmento A - Clubes'!I2:I300,"Pendiente investigar")+COUNTIF('Segmento B - America'!H2:H300,"Pendiente investigar")</f>
        <v/>
      </c>
      <c r="B8" s="6">
        <f>COUNTIF('Segmento A - Clubes'!I2:I300,"Listo para enviar")+COUNTIF('Segmento B - America'!H2:H300,"Listo para enviar")</f>
        <v/>
      </c>
      <c r="C8" s="6">
        <f>COUNTIF('Segmento A - Clubes'!I2:I300,"Enviado")+COUNTIF('Segmento B - America'!H2:H300,"Enviado")</f>
        <v/>
      </c>
      <c r="D8" s="6">
        <f>COUNTIF('Segmento A - Clubes'!I2:I300,"Respondido")+COUNTIF('Segmento B - America'!H2:H300,"Respondido")</f>
        <v/>
      </c>
      <c r="E8" s="6">
        <f>COUNTIF('Segmento A - Clubes'!I2:I300,"Llamada agendada")+COUNTIF('Segmento B - America'!H2:H300,"Llamada agendada")</f>
        <v/>
      </c>
      <c r="F8" s="6">
        <f>COUNTIF('Segmento A - Clubes'!I2:I300,"Llamada realizada")+COUNTIF('Segmento B - America'!H2:H300,"Llamada realizada")</f>
        <v/>
      </c>
      <c r="G8" s="6">
        <f>COUNTIF('Segmento A - Clubes'!I2:I300,"Cerrado")+COUNTIF('Segmento B - America'!H2:H300,"Cerrado")</f>
        <v/>
      </c>
      <c r="H8" s="6">
        <f>COUNTIF('Segmento A - Clubes'!I2:I300,"Perdido")+COUNTIF('Segmento B - America'!H2:H300,"Perdido")</f>
        <v/>
      </c>
    </row>
    <row r="10">
      <c r="A10" s="11" t="inlineStr">
        <is>
          <t>BECAS  (Segmento C)</t>
        </is>
      </c>
    </row>
    <row r="11">
      <c r="A11" s="5" t="inlineStr">
        <is>
          <t>Nuevo</t>
        </is>
      </c>
      <c r="B11" s="5" t="inlineStr">
        <is>
          <t>Cualificado</t>
        </is>
      </c>
      <c r="C11" s="5" t="inlineStr">
        <is>
          <t>Llamada agendada</t>
        </is>
      </c>
      <c r="D11" s="5" t="inlineStr">
        <is>
          <t>Llamada realizada</t>
        </is>
      </c>
      <c r="E11" s="5" t="inlineStr">
        <is>
          <t>Cerrado</t>
        </is>
      </c>
      <c r="F11" s="5" t="inlineStr">
        <is>
          <t>Perdido</t>
        </is>
      </c>
    </row>
    <row r="12">
      <c r="A12" s="6">
        <f>COUNTIF('Segmento C - Becas'!E2:E300,"Nuevo")</f>
        <v/>
      </c>
      <c r="B12" s="6">
        <f>COUNTIF('Segmento C - Becas'!E2:E300,"Cualificado")</f>
        <v/>
      </c>
      <c r="C12" s="6">
        <f>COUNTIF('Segmento C - Becas'!E2:E300,"Llamada agendada")</f>
        <v/>
      </c>
      <c r="D12" s="6">
        <f>COUNTIF('Segmento C - Becas'!E2:E300,"Llamada realizada")</f>
        <v/>
      </c>
      <c r="E12" s="6">
        <f>COUNTIF('Segmento C - Becas'!E2:E300,"Cerrado")</f>
        <v/>
      </c>
      <c r="F12" s="6">
        <f>COUNTIF('Segmento C - Becas'!E2:E300,"Perdido")</f>
        <v/>
      </c>
    </row>
    <row r="14">
      <c r="A14" s="11" t="inlineStr">
        <is>
          <t>INTERNATIONAL PROGRAM (Real Sociedad)</t>
        </is>
      </c>
    </row>
    <row r="15">
      <c r="A15" s="10" t="inlineStr">
        <is>
          <t>0 leads activos todavía — esta sección se activa con el primer lead real. Ver lineas-de-negocio.md línea 3. No crear pestaña de seguimiento hasta entonces.</t>
        </is>
      </c>
    </row>
    <row r="17">
      <c r="A17" s="11" t="inlineStr">
        <is>
          <t>PLAYER OPPORTUNITIES (Alemania/España) Y PLAYER DEVELOPMENT</t>
        </is>
      </c>
    </row>
    <row r="18">
      <c r="A18" s="10"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7"/>
  <sheetViews>
    <sheetView workbookViewId="0">
      <pane ySplit="5" topLeftCell="A6" activePane="bottomLeft" state="frozen"/>
      <selection pane="bottomLeft" activeCell="A1" sqref="A1"/>
    </sheetView>
  </sheetViews>
  <sheetFormatPr baseColWidth="8" defaultRowHeight="15"/>
  <cols>
    <col width="26" customWidth="1" min="1" max="1"/>
    <col width="12" customWidth="1" min="2" max="2"/>
    <col width="14" customWidth="1" min="3" max="3"/>
    <col width="30" customWidth="1" min="4" max="4"/>
    <col width="16" customWidth="1" min="5" max="5"/>
    <col width="22" customWidth="1" min="6" max="6"/>
    <col width="22" customWidth="1" min="7" max="7"/>
    <col width="20" customWidth="1" min="8" max="8"/>
    <col width="18" customWidth="1" min="9" max="9"/>
    <col width="28" customWidth="1" min="10" max="10"/>
    <col width="30" customWidth="1" min="11" max="11"/>
    <col width="45" customWidth="1" min="12" max="12"/>
    <col width="12" customWidth="1" min="13" max="13"/>
    <col width="14" customWidth="1" min="14" max="14"/>
    <col width="30" customWidth="1" min="15" max="15"/>
  </cols>
  <sheetData>
    <row r="1">
      <c r="A1" s="1" t="inlineStr">
        <is>
          <t>Segmento A — Clubes juveniles internacionales</t>
        </is>
      </c>
    </row>
    <row r="2">
      <c r="A2" s="2" t="inlineStr">
        <is>
          <t>Perfil Greystones/Homefarm: decide un entrenador o comité de club, ciclo de venta corto.</t>
        </is>
      </c>
    </row>
    <row r="3" ht="60" customHeight="1">
      <c r="A3" s="10"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c r="A5" s="5" t="inlineStr">
        <is>
          <t>Club/Academia</t>
        </is>
      </c>
      <c r="B5" s="5" t="inlineStr">
        <is>
          <t>País</t>
        </is>
      </c>
      <c r="C5" s="5" t="inlineStr">
        <is>
          <t>Categoría/Edad</t>
        </is>
      </c>
      <c r="D5" s="5" t="inlineStr">
        <is>
          <t>Motivo de interés (contrastado)</t>
        </is>
      </c>
      <c r="E5" s="5" t="inlineStr">
        <is>
          <t>Fuente</t>
        </is>
      </c>
      <c r="F5" s="5" t="inlineStr">
        <is>
          <t>Contacto (nombre)</t>
        </is>
      </c>
      <c r="G5" s="5" t="inlineStr">
        <is>
          <t>Email</t>
        </is>
      </c>
      <c r="H5" s="5" t="inlineStr">
        <is>
          <t>Teléfono</t>
        </is>
      </c>
      <c r="I5" s="5" t="inlineStr">
        <is>
          <t>Estado</t>
        </is>
      </c>
      <c r="J5" s="5" t="inlineStr">
        <is>
          <t>Próxima acción</t>
        </is>
      </c>
      <c r="K5" s="5" t="inlineStr">
        <is>
          <t>Asunto email</t>
        </is>
      </c>
      <c r="L5" s="5" t="inlineStr">
        <is>
          <t>Cuerpo email</t>
        </is>
      </c>
      <c r="M5" s="5" t="inlineStr">
        <is>
          <t>Fecha envío</t>
        </is>
      </c>
      <c r="N5" s="5" t="inlineStr">
        <is>
          <t>Fecha último contacto</t>
        </is>
      </c>
      <c r="O5" s="5" t="inlineStr">
        <is>
          <t>Notas</t>
        </is>
      </c>
    </row>
    <row r="6" ht="60" customHeight="1">
      <c r="A6" s="6" t="inlineStr">
        <is>
          <t>Home Farm FC (chicas U13-U15)</t>
        </is>
      </c>
      <c r="B6" s="6" t="inlineStr">
        <is>
          <t>Irlanda</t>
        </is>
      </c>
      <c r="C6" s="6" t="inlineStr">
        <is>
          <t>U13-U15 chicas</t>
        </is>
      </c>
      <c r="D6" s="12" t="inlineStr">
        <is>
          <t>Mismo perfil exacto que Greystones (irlandés, viaja a España)</t>
        </is>
      </c>
      <c r="E6" s="6" t="inlineStr">
        <is>
          <t>dbsportstours.com</t>
        </is>
      </c>
      <c r="F6" s="12" t="inlineStr">
        <is>
          <t>Karl Higgins (U13) / Mark Kelly (U14) / Aaron Doherty (U15)</t>
        </is>
      </c>
      <c r="G6" s="6" t="inlineStr">
        <is>
          <t>homefarmfc@gmail.com</t>
        </is>
      </c>
      <c r="H6" s="6" t="inlineStr">
        <is>
          <t>Karl 087-3838347 / Mark 085-1116953 / Aaron 087-6242781</t>
        </is>
      </c>
      <c r="I6" s="6" t="inlineStr">
        <is>
          <t>Listo para enviar</t>
        </is>
      </c>
      <c r="J6" s="12" t="inlineStr">
        <is>
          <t>Enviar el email de la columna siguiente hoy</t>
        </is>
      </c>
      <c r="K6" s="12" t="inlineStr">
        <is>
          <t>Bringing Home Farm FC to train with Atlético de Madrid &amp; Real Sociedad in Spain</t>
        </is>
      </c>
      <c r="L6" s="12"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3" t="inlineStr"/>
      <c r="N6" s="13" t="inlineStr"/>
      <c r="O6" s="12" t="inlineStr">
        <is>
          <t>Email ya preparado y revisado 2026-08-29 — solo falta que Joel lo envíe</t>
        </is>
      </c>
    </row>
    <row r="7" ht="60" customHeight="1">
      <c r="A7" s="6" t="inlineStr">
        <is>
          <t>Søreide IL</t>
        </is>
      </c>
      <c r="B7" s="6" t="inlineStr">
        <is>
          <t>Noruega</t>
        </is>
      </c>
      <c r="C7" s="6" t="inlineStr">
        <is>
          <t>Sin confirmar</t>
        </is>
      </c>
      <c r="D7" s="12" t="inlineStr">
        <is>
          <t>Participante confirmado Costa Daurada Cup 2026</t>
        </is>
      </c>
      <c r="E7" s="6" t="inlineStr">
        <is>
          <t>costadauradacup.com</t>
        </is>
      </c>
      <c r="F7" s="12" t="inlineStr">
        <is>
          <t>Comité juvenil del club</t>
        </is>
      </c>
      <c r="G7" s="6" t="inlineStr">
        <is>
          <t>ungdomsutvalget@soreideil.no</t>
        </is>
      </c>
      <c r="H7" s="6" t="inlineStr"/>
      <c r="I7" s="6" t="inlineStr">
        <is>
          <t>Listo para enviar</t>
        </is>
      </c>
      <c r="J7" s="12" t="inlineStr">
        <is>
          <t>Enviar el email de la columna siguiente esta semana</t>
        </is>
      </c>
      <c r="K7" s="12" t="inlineStr">
        <is>
          <t>Bringing Søreide IL to train with LaLiga clubs in Spain</t>
        </is>
      </c>
      <c r="L7" s="12" t="inlineStr">
        <is>
          <t>Hi,
I'm Joel, I run Always Up — we bring international youth clubs to Spain to train directly at the facilities of Atletico de Madrid, Real Sociedad and Sporting de Gijon.
I saw Søreide IL is a confirmed participant in the Costa Daurada Cup 2026 and thought this could be a great fit for your squad.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7" s="13" t="inlineStr"/>
      <c r="N7" s="13" t="inlineStr"/>
      <c r="O7" s="12" t="inlineStr">
        <is>
          <t>También: fotball@soreideil.no (contacto general del club)</t>
        </is>
      </c>
    </row>
    <row r="8" ht="18" customHeight="1">
      <c r="A8" s="6" t="inlineStr">
        <is>
          <t>Maidstone United (Girls Development Centre)</t>
        </is>
      </c>
      <c r="B8" s="6" t="inlineStr">
        <is>
          <t>Reino Unido</t>
        </is>
      </c>
      <c r="C8" s="6" t="inlineStr">
        <is>
          <t>Sin confirmar</t>
        </is>
      </c>
      <c r="D8" s="12" t="inlineStr">
        <is>
          <t>Participante confirmado Costa Daurada Cup 2026</t>
        </is>
      </c>
      <c r="E8" s="6" t="inlineStr">
        <is>
          <t>costadauradacup.com</t>
        </is>
      </c>
      <c r="F8" s="12" t="inlineStr">
        <is>
          <t>Sin nombre confirmado</t>
        </is>
      </c>
      <c r="G8" s="6" t="inlineStr">
        <is>
          <t>Pendiente — solo hay teléfono</t>
        </is>
      </c>
      <c r="H8" s="6" t="inlineStr">
        <is>
          <t>078 3585 4704</t>
        </is>
      </c>
      <c r="I8" s="6" t="inlineStr">
        <is>
          <t>Pendiente investigar email</t>
        </is>
      </c>
      <c r="J8" s="12" t="inlineStr">
        <is>
          <t>Llamar o buscar contacto vía redes del club</t>
        </is>
      </c>
      <c r="K8" s="12" t="inlineStr"/>
      <c r="L8" s="12" t="inlineStr"/>
      <c r="M8" s="13" t="inlineStr"/>
      <c r="N8" s="13" t="inlineStr"/>
      <c r="O8" s="12" t="inlineStr">
        <is>
          <t>Llamar o contactar vía redes sociales del club para conseguir email directo</t>
        </is>
      </c>
    </row>
    <row r="9" ht="18" customHeight="1">
      <c r="A9" s="6" t="inlineStr">
        <is>
          <t>Whitehaven AFC (Juniors Girls U13-U15)</t>
        </is>
      </c>
      <c r="B9" s="6" t="inlineStr">
        <is>
          <t>Reino Unido</t>
        </is>
      </c>
      <c r="C9" s="6" t="inlineStr">
        <is>
          <t>U13-U15 chicas</t>
        </is>
      </c>
      <c r="D9" s="12" t="inlineStr">
        <is>
          <t>Participante confirmado Costa Daurada Cup 2026 + tiene estructura de chicas U13/U14/U15 activa (The FA Full-Time)</t>
        </is>
      </c>
      <c r="E9" s="6" t="inlineStr">
        <is>
          <t>costadauradacup.com / fulltime.thefa.com</t>
        </is>
      </c>
      <c r="F9" s="12" t="inlineStr">
        <is>
          <t>Sin nombre confirmado todavía</t>
        </is>
      </c>
      <c r="G9" s="6" t="inlineStr">
        <is>
          <t>Sin email directo — solo formulario en whitehavenafc.com/contact</t>
        </is>
      </c>
      <c r="H9" s="6" t="inlineStr"/>
      <c r="I9" s="6" t="inlineStr">
        <is>
          <t>Pendiente investigar decisor</t>
        </is>
      </c>
      <c r="J9" s="12" t="inlineStr">
        <is>
          <t>Rellenar el formulario de contacto o buscar el nombre del responsable de chicas en redes del club antes de escribir</t>
        </is>
      </c>
      <c r="K9" s="12" t="inlineStr"/>
      <c r="L9" s="12" t="inlineStr"/>
      <c r="M9" s="13" t="inlineStr"/>
      <c r="N9" s="13" t="inlineStr"/>
      <c r="O9" s="12" t="inlineStr">
        <is>
          <t>Investigado 2026-08-29: club real con categorías U13-U15 chicas, pero sin decisor nombrado todavía — no está al nivel de Home Farm/Hastings todavía</t>
        </is>
      </c>
    </row>
    <row r="10" ht="18" customHeight="1">
      <c r="A10" s="6" t="inlineStr">
        <is>
          <t>Lower Ormond</t>
        </is>
      </c>
      <c r="B10" s="6" t="inlineStr">
        <is>
          <t>Reino Unido (sin confirmar)</t>
        </is>
      </c>
      <c r="C10" s="6" t="inlineStr">
        <is>
          <t>Sin confirmar</t>
        </is>
      </c>
      <c r="D10" s="12" t="inlineStr">
        <is>
          <t>Aparecía como participante Costa Daurada Cup 2026 en el research original de julio</t>
        </is>
      </c>
      <c r="E10" s="6" t="inlineStr">
        <is>
          <t>costadauradacup.com</t>
        </is>
      </c>
      <c r="F10" s="12" t="inlineStr"/>
      <c r="G10" s="6" t="inlineStr"/>
      <c r="H10" s="6" t="inlineStr"/>
      <c r="I10" s="6" t="inlineStr">
        <is>
          <t>Sin identificar con certeza</t>
        </is>
      </c>
      <c r="J10" s="12" t="inlineStr">
        <is>
          <t>Verificar directamente en costadauradacup.com — la búsqueda de hoy solo encontró clubes de Ormond en Australia (deporte distinto, AFL), no coincide</t>
        </is>
      </c>
      <c r="K10" s="12" t="inlineStr"/>
      <c r="L10" s="12" t="inlineStr"/>
      <c r="M10" s="13" t="inlineStr"/>
      <c r="N10" s="13" t="inlineStr"/>
      <c r="O10" s="12" t="inlineStr">
        <is>
          <t>Investigado 2026-08-29: posible error de nombre en el research original — no gastar más tiempo hasta verificar en la fuente original</t>
        </is>
      </c>
    </row>
    <row r="11" ht="18" customHeight="1">
      <c r="A11" s="6" t="inlineStr">
        <is>
          <t>Holbeach United</t>
        </is>
      </c>
      <c r="B11" s="6" t="inlineStr">
        <is>
          <t>Reino Unido</t>
        </is>
      </c>
      <c r="C11" s="6" t="inlineStr">
        <is>
          <t>Estructura U7-U14+</t>
        </is>
      </c>
      <c r="D11" s="12" t="inlineStr">
        <is>
          <t>Participante confirmado Costa Daurada Cup 2026 + club con estructura juvenil real y activa</t>
        </is>
      </c>
      <c r="E11" s="6" t="inlineStr">
        <is>
          <t>costadauradacup.com / holbeachunitedcsa.org.uk</t>
        </is>
      </c>
      <c r="F11" s="12" t="inlineStr">
        <is>
          <t>Sin nombre confirmado todavía</t>
        </is>
      </c>
      <c r="G11" s="6" t="inlineStr">
        <is>
          <t>info@holbeachunitedcsa.org.uk</t>
        </is>
      </c>
      <c r="H11" s="6" t="inlineStr">
        <is>
          <t>07801 049254</t>
        </is>
      </c>
      <c r="I11" s="6" t="inlineStr">
        <is>
          <t>Pendiente investigar decisor</t>
        </is>
      </c>
      <c r="J11" s="12" t="inlineStr">
        <is>
          <t>Escribir al email general pidiendo hablar con el responsable de viajes/categorías mayores antes de mandar la propuesta completa</t>
        </is>
      </c>
      <c r="K11" s="12" t="inlineStr"/>
      <c r="L11" s="12" t="inlineStr"/>
      <c r="M11" s="13" t="inlineStr"/>
      <c r="N11" s="13" t="inlineStr"/>
      <c r="O11" s="12" t="inlineStr">
        <is>
          <t>Investigado 2026-08-29: contacto general real, falta nombre de decisor</t>
        </is>
      </c>
    </row>
    <row r="12" ht="60" customHeight="1">
      <c r="A12" s="6" t="inlineStr">
        <is>
          <t>Hastings United (Girls Academy)</t>
        </is>
      </c>
      <c r="B12" s="6" t="inlineStr">
        <is>
          <t>Reino Unido</t>
        </is>
      </c>
      <c r="C12" s="6" t="inlineStr">
        <is>
          <t>Academia — chicas</t>
        </is>
      </c>
      <c r="D12" s="12" t="inlineStr">
        <is>
          <t>Participante confirmado Costa Daurada Cup 2026 + academia estructurada con Head of Girls Academy identificada</t>
        </is>
      </c>
      <c r="E12" s="6" t="inlineStr">
        <is>
          <t>costadauradacup.com / academy.hastingsunited.com</t>
        </is>
      </c>
      <c r="F12" s="12" t="inlineStr">
        <is>
          <t>Georgia Townsend (Head of Girls Academy)</t>
        </is>
      </c>
      <c r="G12" s="6" t="inlineStr">
        <is>
          <t>georgia.townsend@hastingsunited.com</t>
        </is>
      </c>
      <c r="H12" s="6" t="inlineStr"/>
      <c r="I12" s="6" t="inlineStr">
        <is>
          <t>Listo para enviar</t>
        </is>
      </c>
      <c r="J12" s="12" t="inlineStr">
        <is>
          <t>Enviar el email de la columna siguiente esta semana</t>
        </is>
      </c>
      <c r="K12" s="12" t="inlineStr">
        <is>
          <t>Bringing Hastings United's Girls Academy to train with LaLiga clubs in Spain</t>
        </is>
      </c>
      <c r="L12" s="12"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3" t="inlineStr"/>
      <c r="N12" s="13" t="inlineStr"/>
      <c r="O12" s="12" t="inlineStr">
        <is>
          <t>Investigado 2026-08-29: el mejor de los 4 investigados hoy — decisor nombrado y academia real</t>
        </is>
      </c>
    </row>
    <row r="13" ht="18" customHeight="1">
      <c r="A13" s="6" t="inlineStr">
        <is>
          <t>Morecambe Hawks</t>
        </is>
      </c>
      <c r="B13" s="6" t="inlineStr">
        <is>
          <t>Reino Unido (verificar)</t>
        </is>
      </c>
      <c r="C13" s="6" t="inlineStr">
        <is>
          <t>Sin confirmar</t>
        </is>
      </c>
      <c r="D13" s="12" t="inlineStr">
        <is>
          <t>Aparecía como participante Costa Daurada Cup 2026 en el research original de julio</t>
        </is>
      </c>
      <c r="E13" s="6" t="inlineStr">
        <is>
          <t>costadauradacup.com</t>
        </is>
      </c>
      <c r="F13" s="12" t="inlineStr"/>
      <c r="G13" s="6" t="inlineStr">
        <is>
          <t>office@morecambefc.com (club matriz, sin confirmar relación)</t>
        </is>
      </c>
      <c r="H13" s="6" t="inlineStr"/>
      <c r="I13" s="6" t="inlineStr">
        <is>
          <t>Verificar antes de contactar</t>
        </is>
      </c>
      <c r="J13" s="12" t="inlineStr">
        <is>
          <t>La búsqueda de hoy solo encontró 'Morecambe Hawks United MHU', equipo de liga local pequeña — verificar si es el mismo club antes de escribir, puede ser coincidencia de nombre</t>
        </is>
      </c>
      <c r="K13" s="12" t="inlineStr"/>
      <c r="L13" s="12" t="inlineStr"/>
      <c r="M13" s="13" t="inlineStr"/>
      <c r="N13" s="13" t="inlineStr"/>
      <c r="O13" s="12" t="inlineStr">
        <is>
          <t>Investigado 2026-08-29: discrepancia entre el research original y lo encontrado hoy — no mandar nada hasta confirmar</t>
        </is>
      </c>
    </row>
    <row r="14" ht="18" customHeight="1">
      <c r="A14" s="6" t="inlineStr">
        <is>
          <t>IA Akranes</t>
        </is>
      </c>
      <c r="B14" s="6" t="inlineStr">
        <is>
          <t>Islandia</t>
        </is>
      </c>
      <c r="C14" s="6" t="inlineStr">
        <is>
          <t>Sin confirmar</t>
        </is>
      </c>
      <c r="D14" s="12" t="inlineStr">
        <is>
          <t>Participante confirmado Costa Daurada Cup 2026</t>
        </is>
      </c>
      <c r="E14" s="6" t="inlineStr">
        <is>
          <t>costadauradacup.com</t>
        </is>
      </c>
      <c r="F14" s="12" t="inlineStr"/>
      <c r="G14" s="6" t="inlineStr"/>
      <c r="H14" s="6" t="inlineStr"/>
      <c r="I14" s="6" t="inlineStr">
        <is>
          <t>Pendiente investigar</t>
        </is>
      </c>
      <c r="J14" s="12" t="inlineStr">
        <is>
          <t>Investigar contacto (parte de la cuota diaria de 5 búsquedas)</t>
        </is>
      </c>
      <c r="K14" s="12" t="inlineStr"/>
      <c r="L14" s="12" t="inlineStr"/>
      <c r="M14" s="13" t="inlineStr"/>
      <c r="N14" s="13" t="inlineStr"/>
      <c r="O14" s="12" t="inlineStr"/>
    </row>
    <row r="15" ht="18" customHeight="1">
      <c r="A15" s="6" t="inlineStr">
        <is>
          <t>Excelsior Rotterdam</t>
        </is>
      </c>
      <c r="B15" s="6" t="inlineStr">
        <is>
          <t>Países Bajos</t>
        </is>
      </c>
      <c r="C15" s="6" t="inlineStr">
        <is>
          <t>Sin confirmar</t>
        </is>
      </c>
      <c r="D15" s="12" t="inlineStr">
        <is>
          <t>Participante confirmado Costa Daurada Cup 2026</t>
        </is>
      </c>
      <c r="E15" s="6" t="inlineStr">
        <is>
          <t>costadauradacup.com</t>
        </is>
      </c>
      <c r="F15" s="12" t="inlineStr"/>
      <c r="G15" s="6" t="inlineStr"/>
      <c r="H15" s="6" t="inlineStr"/>
      <c r="I15" s="6" t="inlineStr">
        <is>
          <t>Pendiente investigar</t>
        </is>
      </c>
      <c r="J15" s="12" t="inlineStr">
        <is>
          <t>Investigar contacto (parte de la cuota diaria de 5 búsquedas)</t>
        </is>
      </c>
      <c r="K15" s="12" t="inlineStr"/>
      <c r="L15" s="12" t="inlineStr"/>
      <c r="M15" s="13" t="inlineStr"/>
      <c r="N15" s="13" t="inlineStr"/>
      <c r="O15" s="12" t="inlineStr"/>
    </row>
    <row r="16" ht="18" customHeight="1">
      <c r="A16" s="6" t="inlineStr">
        <is>
          <t>Deportivo de la Coruña</t>
        </is>
      </c>
      <c r="B16" s="6" t="inlineStr">
        <is>
          <t>España</t>
        </is>
      </c>
      <c r="C16" s="6" t="inlineStr">
        <is>
          <t>Anfitrión, no viajero</t>
        </is>
      </c>
      <c r="D16" s="12" t="inlineStr">
        <is>
          <t>Posible nuevo club anfitrión — ya en conversación</t>
        </is>
      </c>
      <c r="E16" s="6" t="inlineStr">
        <is>
          <t>CLAUDE.md / Joel</t>
        </is>
      </c>
      <c r="F16" s="12" t="inlineStr"/>
      <c r="G16" s="6" t="inlineStr"/>
      <c r="H16" s="6" t="inlineStr"/>
      <c r="I16" s="6" t="inlineStr">
        <is>
          <t>En negociación</t>
        </is>
      </c>
      <c r="J16" s="12" t="inlineStr">
        <is>
          <t>Ver 01-clients/pipeline.md para el estado real</t>
        </is>
      </c>
      <c r="K16" s="12" t="inlineStr"/>
      <c r="L16" s="12" t="inlineStr"/>
      <c r="M16" s="13" t="inlineStr"/>
      <c r="N16" s="13" t="inlineStr"/>
      <c r="O16" s="12" t="inlineStr">
        <is>
          <t>Ver 01-clients/pipeline.md — no duplicar seguimiento aquí, solo referencia</t>
        </is>
      </c>
    </row>
    <row r="17" ht="90" customHeight="1">
      <c r="A17" s="6" t="inlineStr">
        <is>
          <t>Leonardo Uren / equipo (Brasil) — posible partner, no solo cliente</t>
        </is>
      </c>
      <c r="B17" s="6" t="inlineStr">
        <is>
          <t>Brasil</t>
        </is>
      </c>
      <c r="C17" s="6" t="inlineStr">
        <is>
          <t>N/A — colaboración institucional, no un grupo de jugadores</t>
        </is>
      </c>
      <c r="D17" s="12" t="inlineStr">
        <is>
          <t>Conversación real ya avanzada abril-julio 2026: exploraron modelo de colaboración Brasil-España (jugadores/equipos en ambas direcciones), con el padre de Joel involucrado. Se enfrió tras propuesta de llamada el 03/07/2026 sin respuesta</t>
        </is>
      </c>
      <c r="E17" s="6" t="inlineStr">
        <is>
          <t>Contacto personal de Joel</t>
        </is>
      </c>
      <c r="F17" s="12" t="inlineStr">
        <is>
          <t>Leonardo Uren</t>
        </is>
      </c>
      <c r="G17" s="6" t="inlineStr">
        <is>
          <t>Sin email — conversación por WhatsApp</t>
        </is>
      </c>
      <c r="H17" s="6" t="inlineStr"/>
      <c r="I17" s="6" t="inlineStr">
        <is>
          <t>Listo para enviar (reactivación)</t>
        </is>
      </c>
      <c r="J17" s="12" t="inlineStr">
        <is>
          <t>Enviar el mensaje de reactivación de la columna Cuerpo — pendiente de que Joel lo mande</t>
        </is>
      </c>
      <c r="K17" s="12" t="inlineStr">
        <is>
          <t>N/A — mensaje de WhatsApp, no email</t>
        </is>
      </c>
      <c r="L17" s="14" t="inlineStr">
        <is>
          <t>Hi Leonardo! Hope you and the team are doing well.
It's been a while since we talked - a lot has happened on our side too. We've been growing our international side, and with Spain now World Cup champions there's a lot more interest from clubs/academies wanting to connect with Spanish football, so it feels like a good moment to pick this back up.
I still think there's real potential in a Brazil-Spain connection - players/teams coming to train in Spain, and maybe the other way around too. Would you be up for reopening that conversation? My dad would join again as well. No need to tie it to a specific trip this time - happy to find 20-30 minutes whenever works for you guys.
Let me know!</t>
        </is>
      </c>
      <c r="M17" s="13" t="inlineStr"/>
      <c r="N17" s="13" t="n">
        <v>46206</v>
      </c>
      <c r="O17" s="12"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t>
        </is>
      </c>
    </row>
  </sheetData>
  <autoFilter ref="A5:O17"/>
  <mergeCells count="3">
    <mergeCell ref="A3:O4"/>
    <mergeCell ref="A1:O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18" customWidth="1" min="3" max="3"/>
    <col width="34" customWidth="1" min="4" max="4"/>
    <col width="20" customWidth="1" min="5" max="5"/>
    <col width="18" customWidth="1" min="6" max="6"/>
    <col width="18" customWidth="1" min="7" max="7"/>
    <col width="26" customWidth="1" min="8" max="8"/>
    <col width="28" customWidth="1" min="9" max="9"/>
    <col width="26" customWidth="1" min="10" max="10"/>
    <col width="40" customWidth="1" min="11" max="11"/>
    <col width="12" customWidth="1" min="12" max="12"/>
    <col width="14" customWidth="1" min="13" max="13"/>
    <col width="36" customWidth="1" min="14" max="14"/>
  </cols>
  <sheetData>
    <row r="1">
      <c r="A1" s="1" t="inlineStr">
        <is>
          <t>Segmento B — Universidades y clubes de América</t>
        </is>
      </c>
    </row>
    <row r="2">
      <c r="A2" s="2" t="inlineStr">
        <is>
          <t>NCAA + clubes/academias EEUU. Incluye fútbol femenino universitario (segmento en crecimiento, menos competido).</t>
        </is>
      </c>
    </row>
    <row r="3" ht="60" customHeight="1">
      <c r="A3" s="10"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c r="A5" s="5" t="inlineStr">
        <is>
          <t>Programa/Club</t>
        </is>
      </c>
      <c r="B5" s="5" t="inlineStr">
        <is>
          <t>País/Estado</t>
        </is>
      </c>
      <c r="C5" s="5" t="inlineStr">
        <is>
          <t>Nivel</t>
        </is>
      </c>
      <c r="D5" s="5" t="inlineStr">
        <is>
          <t>Motivo de interés</t>
        </is>
      </c>
      <c r="E5" s="5" t="inlineStr">
        <is>
          <t>Fuente</t>
        </is>
      </c>
      <c r="F5" s="5" t="inlineStr">
        <is>
          <t>Contacto</t>
        </is>
      </c>
      <c r="G5" s="5" t="inlineStr">
        <is>
          <t>Email</t>
        </is>
      </c>
      <c r="H5" s="5" t="inlineStr">
        <is>
          <t>Estado</t>
        </is>
      </c>
      <c r="I5" s="5" t="inlineStr">
        <is>
          <t>Próxima acción</t>
        </is>
      </c>
      <c r="J5" s="5" t="inlineStr">
        <is>
          <t>Asunto email</t>
        </is>
      </c>
      <c r="K5" s="5" t="inlineStr">
        <is>
          <t>Cuerpo email</t>
        </is>
      </c>
      <c r="L5" s="5" t="inlineStr">
        <is>
          <t>Fecha envío</t>
        </is>
      </c>
      <c r="M5" s="5" t="inlineStr">
        <is>
          <t>Fecha último contacto</t>
        </is>
      </c>
      <c r="N5" s="5" t="inlineStr">
        <is>
          <t>Notas</t>
        </is>
      </c>
    </row>
    <row r="6">
      <c r="A6" s="6" t="inlineStr">
        <is>
          <t>ODP Louisiana</t>
        </is>
      </c>
      <c r="B6" s="6" t="inlineStr">
        <is>
          <t>Louisiana, EEUU</t>
        </is>
      </c>
      <c r="C6" s="6" t="inlineStr">
        <is>
          <t>Club/Academia</t>
        </is>
      </c>
      <c r="D6" s="12" t="inlineStr">
        <is>
          <t>Participante confirmado Costa Daurada Cup 2026 — encaja con foco geográfico EEUU</t>
        </is>
      </c>
      <c r="E6" s="6" t="inlineStr">
        <is>
          <t>costadauradacup.com</t>
        </is>
      </c>
      <c r="F6" s="6" t="inlineStr"/>
      <c r="G6" s="6" t="inlineStr"/>
      <c r="H6" s="6" t="inlineStr">
        <is>
          <t>Pendiente investigar contacto</t>
        </is>
      </c>
      <c r="I6" s="12" t="inlineStr">
        <is>
          <t>Investigar contacto — solo después de que Segmento A tenga 2-3 conversaciones reales</t>
        </is>
      </c>
      <c r="J6" s="12" t="inlineStr"/>
      <c r="K6" s="12" t="inlineStr"/>
      <c r="L6" s="13" t="inlineStr"/>
      <c r="M6" s="13" t="inlineStr"/>
      <c r="N6" s="12" t="inlineStr"/>
    </row>
    <row r="7">
      <c r="A7" s="6" t="inlineStr">
        <is>
          <t>Dallas Texans</t>
        </is>
      </c>
      <c r="B7" s="6" t="inlineStr">
        <is>
          <t>Texas, EEUU</t>
        </is>
      </c>
      <c r="C7" s="6" t="inlineStr">
        <is>
          <t>Club/Academia (ECNL)</t>
        </is>
      </c>
      <c r="D7" s="12" t="inlineStr">
        <is>
          <t>Participante ECNL International IberCup 2026</t>
        </is>
      </c>
      <c r="E7" s="6" t="inlineStr">
        <is>
          <t>soccerwire.com / theecnl.com</t>
        </is>
      </c>
      <c r="F7" s="6" t="inlineStr"/>
      <c r="G7" s="6" t="inlineStr"/>
      <c r="H7" s="6" t="inlineStr">
        <is>
          <t>Pendiente filtrar por edad + contacto</t>
        </is>
      </c>
      <c r="I7" s="12" t="inlineStr">
        <is>
          <t>Confirmar categorías mayores antes de investigar más</t>
        </is>
      </c>
      <c r="J7" s="12" t="inlineStr"/>
      <c r="K7" s="12" t="inlineStr"/>
      <c r="L7" s="13" t="inlineStr"/>
      <c r="M7" s="13" t="inlineStr"/>
      <c r="N7" s="12" t="inlineStr">
        <is>
          <t>Aviso: categoría IberCup es U11/U12 7v7 — confirmar que tienen categorías mayores antes de contactar</t>
        </is>
      </c>
    </row>
    <row r="8">
      <c r="A8" s="6" t="inlineStr">
        <is>
          <t>Charlotte SA</t>
        </is>
      </c>
      <c r="B8" s="6" t="inlineStr">
        <is>
          <t>Carolina del Norte, EEUU</t>
        </is>
      </c>
      <c r="C8" s="6" t="inlineStr">
        <is>
          <t>Club/Academia (ECNL)</t>
        </is>
      </c>
      <c r="D8" s="12" t="inlineStr">
        <is>
          <t>Participante ECNL International IberCup 2026</t>
        </is>
      </c>
      <c r="E8" s="6" t="inlineStr">
        <is>
          <t>soccerwire.com / theecnl.com</t>
        </is>
      </c>
      <c r="F8" s="6" t="inlineStr"/>
      <c r="G8" s="6" t="inlineStr"/>
      <c r="H8" s="6" t="inlineStr">
        <is>
          <t>Pendiente filtrar por edad + contacto</t>
        </is>
      </c>
      <c r="I8" s="12" t="inlineStr">
        <is>
          <t>Confirmar categorías mayores antes de investigar más</t>
        </is>
      </c>
      <c r="J8" s="12" t="inlineStr"/>
      <c r="K8" s="12" t="inlineStr"/>
      <c r="L8" s="13" t="inlineStr"/>
      <c r="M8" s="13" t="inlineStr"/>
      <c r="N8" s="12" t="inlineStr">
        <is>
          <t>Mismo aviso de edad que arriba</t>
        </is>
      </c>
    </row>
    <row r="9">
      <c r="A9" s="6" t="inlineStr">
        <is>
          <t>Philadelphia Union Academy</t>
        </is>
      </c>
      <c r="B9" s="6" t="inlineStr">
        <is>
          <t>Pensilvania, EEUU</t>
        </is>
      </c>
      <c r="C9" s="6" t="inlineStr">
        <is>
          <t>Club/Academia (ECNL)</t>
        </is>
      </c>
      <c r="D9" s="12" t="inlineStr">
        <is>
          <t>Participante ECNL International IberCup 2026</t>
        </is>
      </c>
      <c r="E9" s="6" t="inlineStr">
        <is>
          <t>soccerwire.com / theecnl.com</t>
        </is>
      </c>
      <c r="F9" s="6" t="inlineStr"/>
      <c r="G9" s="6" t="inlineStr"/>
      <c r="H9" s="6" t="inlineStr">
        <is>
          <t>Pendiente filtrar por edad + contacto</t>
        </is>
      </c>
      <c r="I9" s="12" t="inlineStr">
        <is>
          <t>Confirmar categorías mayores antes de investigar más</t>
        </is>
      </c>
      <c r="J9" s="12" t="inlineStr"/>
      <c r="K9" s="12" t="inlineStr"/>
      <c r="L9" s="13" t="inlineStr"/>
      <c r="M9" s="13" t="inlineStr"/>
      <c r="N9" s="12" t="inlineStr">
        <is>
          <t>Mismo aviso de edad que arriba</t>
        </is>
      </c>
    </row>
    <row r="10">
      <c r="A10" s="6" t="inlineStr">
        <is>
          <t>Seattle United</t>
        </is>
      </c>
      <c r="B10" s="6" t="inlineStr">
        <is>
          <t>Washington, EEUU</t>
        </is>
      </c>
      <c r="C10" s="6" t="inlineStr">
        <is>
          <t>Club/Academia (ECNL)</t>
        </is>
      </c>
      <c r="D10" s="12" t="inlineStr">
        <is>
          <t>Participante ECNL International IberCup 2026</t>
        </is>
      </c>
      <c r="E10" s="6" t="inlineStr">
        <is>
          <t>soccerwire.com / theecnl.com</t>
        </is>
      </c>
      <c r="F10" s="6" t="inlineStr"/>
      <c r="G10" s="6" t="inlineStr"/>
      <c r="H10" s="6" t="inlineStr">
        <is>
          <t>Pendiente filtrar por edad + contacto</t>
        </is>
      </c>
      <c r="I10" s="12" t="inlineStr">
        <is>
          <t>Confirmar categorías mayores antes de investigar más</t>
        </is>
      </c>
      <c r="J10" s="12" t="inlineStr"/>
      <c r="K10" s="12" t="inlineStr"/>
      <c r="L10" s="13" t="inlineStr"/>
      <c r="M10" s="13" t="inlineStr"/>
      <c r="N10" s="12" t="inlineStr">
        <is>
          <t>Mismo aviso de edad que arriba</t>
        </is>
      </c>
    </row>
    <row r="11">
      <c r="A11" s="6" t="inlineStr">
        <is>
          <t>San Diego Surf</t>
        </is>
      </c>
      <c r="B11" s="6" t="inlineStr">
        <is>
          <t>California, EEUU</t>
        </is>
      </c>
      <c r="C11" s="6" t="inlineStr">
        <is>
          <t>Club/Academia (ECNL)</t>
        </is>
      </c>
      <c r="D11" s="12" t="inlineStr">
        <is>
          <t>Participante ECNL International IberCup 2026</t>
        </is>
      </c>
      <c r="E11" s="6" t="inlineStr">
        <is>
          <t>soccerwire.com / theecnl.com</t>
        </is>
      </c>
      <c r="F11" s="6" t="inlineStr"/>
      <c r="G11" s="6" t="inlineStr"/>
      <c r="H11" s="6" t="inlineStr">
        <is>
          <t>Pendiente filtrar por edad + contacto</t>
        </is>
      </c>
      <c r="I11" s="12" t="inlineStr">
        <is>
          <t>Confirmar categorías mayores antes de investigar más</t>
        </is>
      </c>
      <c r="J11" s="12" t="inlineStr"/>
      <c r="K11" s="12" t="inlineStr"/>
      <c r="L11" s="13" t="inlineStr"/>
      <c r="M11" s="13" t="inlineStr"/>
      <c r="N11" s="12" t="inlineStr">
        <is>
          <t>Mismo aviso de edad que arriba</t>
        </is>
      </c>
    </row>
    <row r="12">
      <c r="A12" s="6" t="inlineStr">
        <is>
          <t>UNC Women's Soccer</t>
        </is>
      </c>
      <c r="B12" s="6" t="inlineStr">
        <is>
          <t>Carolina del Norte, EEUU</t>
        </is>
      </c>
      <c r="C12" s="6" t="inlineStr">
        <is>
          <t>NCAA D1 (ACC, top-25)</t>
        </is>
      </c>
      <c r="D12" s="12" t="inlineStr">
        <is>
          <t>Primera gira internacional en 15 años (Dublín, agosto 2026) — demuestra que el interés es real</t>
        </is>
      </c>
      <c r="E12" s="6" t="inlineStr">
        <is>
          <t>tarheeltribune.com</t>
        </is>
      </c>
      <c r="F12" s="6" t="inlineStr"/>
      <c r="G12" s="6" t="inlineStr"/>
      <c r="H12" s="6" t="inlineStr">
        <is>
          <t>Solo referencia — NO contactar</t>
        </is>
      </c>
      <c r="I12" s="12" t="inlineStr">
        <is>
          <t>Ninguna — caso de estudio, no target</t>
        </is>
      </c>
      <c r="J12" s="12" t="inlineStr"/>
      <c r="K12" s="12" t="inlineStr"/>
      <c r="L12" s="13" t="inlineStr"/>
      <c r="M12" s="13" t="inlineStr"/>
      <c r="N12" s="12" t="inlineStr">
        <is>
          <t>Programa grande con relaciones ya asentadas, mal candidato para primer contacto. Dejar como caso de estudio del mercado</t>
        </is>
      </c>
    </row>
    <row r="13">
      <c r="A13" s="6" t="inlineStr">
        <is>
          <t>Programas NCAA D2/D3 sin partnership visible (por identificar)</t>
        </is>
      </c>
      <c r="B13" s="6" t="inlineStr">
        <is>
          <t>EEUU</t>
        </is>
      </c>
      <c r="C13" s="6" t="inlineStr">
        <is>
          <t>NCAA D2/D3</t>
        </is>
      </c>
      <c r="D13" s="12" t="inlineStr">
        <is>
          <t>Hipótesis sin validar: menos competencia que D1, presupuestos más flexibles</t>
        </is>
      </c>
      <c r="E13" s="6" t="inlineStr">
        <is>
          <t>Pendiente investigación propia</t>
        </is>
      </c>
      <c r="F13" s="6" t="inlineStr"/>
      <c r="G13" s="6" t="inlineStr"/>
      <c r="H13" s="6" t="inlineStr">
        <is>
          <t>Pendiente investigación profunda</t>
        </is>
      </c>
      <c r="I13" s="12" t="inlineStr">
        <is>
          <t>Sesión de investigación dedicada (no urgente)</t>
        </is>
      </c>
      <c r="J13" s="12" t="inlineStr"/>
      <c r="K13" s="12" t="inlineStr"/>
      <c r="L13" s="13" t="inlineStr"/>
      <c r="M13" s="13" t="inlineStr"/>
      <c r="N13" s="12" t="inlineStr">
        <is>
          <t>Búsqueda rápida (2026-08-29) no encontró candidatos concretos — requiere sesión de investigación dedicada, no una búsqueda genérica</t>
        </is>
      </c>
    </row>
  </sheetData>
  <autoFilter ref="A5:N13"/>
  <mergeCells count="3">
    <mergeCell ref="A3:N4"/>
    <mergeCell ref="A2:N2"/>
    <mergeCell ref="A1:N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ySplit="5" topLeftCell="A6" activePane="bottomLeft" state="frozen"/>
      <selection pane="bottomLeft" activeCell="A1" sqref="A1"/>
    </sheetView>
  </sheetViews>
  <sheetFormatPr baseColWidth="8" defaultRowHeight="15"/>
  <cols>
    <col width="30" customWidth="1" min="1" max="1"/>
    <col width="8" customWidth="1" min="2" max="2"/>
    <col width="18" customWidth="1" min="3" max="3"/>
    <col width="30" customWidth="1" min="4" max="4"/>
    <col width="18" customWidth="1" min="5" max="5"/>
    <col width="16" customWidth="1" min="6" max="6"/>
    <col width="28" customWidth="1" min="7" max="7"/>
    <col width="34" customWidth="1" min="8" max="8"/>
    <col width="16" customWidth="1" min="9" max="9"/>
    <col width="40" customWidth="1" min="10" max="10"/>
  </cols>
  <sheetData>
    <row r="1">
      <c r="A1" s="1" t="inlineStr">
        <is>
          <t>Segmento C — Becas deportivas (inbound Instagram)</t>
        </is>
      </c>
    </row>
    <row r="2">
      <c r="A2" s="2" t="inlineStr">
        <is>
          <t>No es outreach frío — es inbound que ya llega solo. El trabajo es cualificar y cerrar mejor.</t>
        </is>
      </c>
    </row>
    <row r="3" ht="60" customHeight="1">
      <c r="A3" s="10"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c r="A5" s="5" t="inlineStr">
        <is>
          <t>Nombre / contacto (IG)</t>
        </is>
      </c>
      <c r="B5" s="5" t="inlineStr">
        <is>
          <t>Edad</t>
        </is>
      </c>
      <c r="C5" s="5" t="inlineStr">
        <is>
          <t>País</t>
        </is>
      </c>
      <c r="D5" s="5" t="inlineStr">
        <is>
          <t>Nivel/Posición</t>
        </is>
      </c>
      <c r="E5" s="5" t="inlineStr">
        <is>
          <t>Etapa</t>
        </is>
      </c>
      <c r="F5" s="5" t="inlineStr">
        <is>
          <t>¿Vídeo recibido?</t>
        </is>
      </c>
      <c r="G5" s="5" t="inlineStr">
        <is>
          <t>¿Cualificado? (ver plan-ventas-maestro.md sec.5)</t>
        </is>
      </c>
      <c r="H5" s="5" t="inlineStr">
        <is>
          <t>Próxima acción</t>
        </is>
      </c>
      <c r="I5" s="5" t="inlineStr">
        <is>
          <t>Última actualización</t>
        </is>
      </c>
      <c r="J5" s="5" t="inlineStr">
        <is>
          <t>Notas</t>
        </is>
      </c>
    </row>
    <row r="6">
      <c r="A6" s="6" t="inlineStr">
        <is>
          <t>Francisco Ferreira / francisco_7ferreira</t>
        </is>
      </c>
      <c r="B6" s="6" t="inlineStr">
        <is>
          <t>20</t>
        </is>
      </c>
      <c r="C6" s="6" t="inlineStr">
        <is>
          <t>Portugal</t>
        </is>
      </c>
      <c r="D6" s="6" t="inlineStr">
        <is>
          <t>Lateral derecho, 2ª división distrital</t>
        </is>
      </c>
      <c r="E6" s="6" t="inlineStr">
        <is>
          <t>Llamada realizada</t>
        </is>
      </c>
      <c r="F6" s="6" t="inlineStr">
        <is>
          <t>Sí</t>
        </is>
      </c>
      <c r="G6" s="6" t="inlineStr">
        <is>
          <t>Sí — mandó vídeo</t>
        </is>
      </c>
      <c r="H6" s="12" t="inlineStr">
        <is>
          <t>Acusar recibo del vídeo y evaluar</t>
        </is>
      </c>
      <c r="I6" s="6" t="inlineStr">
        <is>
          <t>2026-08</t>
        </is>
      </c>
      <c r="J6" s="12" t="inlineStr">
        <is>
          <t>Dilema real: ir a EEUU 2027 vs. quedarse en Portugal a estudiar</t>
        </is>
      </c>
    </row>
    <row r="7">
      <c r="A7" s="6" t="inlineStr">
        <is>
          <t>Bauti / bautimoransalzano</t>
        </is>
      </c>
      <c r="B7" s="6" t="inlineStr"/>
      <c r="C7" s="6" t="inlineStr"/>
      <c r="D7" s="6" t="inlineStr"/>
      <c r="E7" s="6" t="inlineStr">
        <is>
          <t>Nuevo</t>
        </is>
      </c>
      <c r="F7" s="6" t="inlineStr">
        <is>
          <t>No</t>
        </is>
      </c>
      <c r="G7" s="6" t="inlineStr">
        <is>
          <t>Sin evaluar</t>
        </is>
      </c>
      <c r="H7" s="12" t="inlineStr">
        <is>
          <t>Aceptar la solicitud de IG (2 semanas sin aceptar)</t>
        </is>
      </c>
      <c r="I7" s="6" t="inlineStr">
        <is>
          <t>2026-08</t>
        </is>
      </c>
      <c r="J7" s="12" t="inlineStr">
        <is>
          <t>Preguntó directamente por el sistema de becas</t>
        </is>
      </c>
    </row>
    <row r="8">
      <c r="A8" s="6" t="inlineStr">
        <is>
          <t>Pavel Gomez / paixvi.b</t>
        </is>
      </c>
      <c r="B8" s="6" t="inlineStr">
        <is>
          <t>17</t>
        </is>
      </c>
      <c r="C8" s="6" t="inlineStr">
        <is>
          <t>EEUU (ya reside)</t>
        </is>
      </c>
      <c r="D8" s="6" t="inlineStr">
        <is>
          <t>Junior, Osceola HS clase 2027, GPA 3.0</t>
        </is>
      </c>
      <c r="E8" s="6" t="inlineStr">
        <is>
          <t>Cualificado</t>
        </is>
      </c>
      <c r="F8" s="6" t="inlineStr">
        <is>
          <t>Sí</t>
        </is>
      </c>
      <c r="G8" s="6" t="inlineStr">
        <is>
          <t>Sí</t>
        </is>
      </c>
      <c r="H8" s="12" t="inlineStr">
        <is>
          <t>Proponer videollamada</t>
        </is>
      </c>
      <c r="I8" s="6" t="inlineStr">
        <is>
          <t>2026-08</t>
        </is>
      </c>
      <c r="J8" s="12" t="inlineStr">
        <is>
          <t>Lead fuerte — ya en EEUU, quiere seguir compitiendo y sacar diploma</t>
        </is>
      </c>
    </row>
    <row r="9">
      <c r="A9" s="6" t="inlineStr">
        <is>
          <t>Gonzalo Caro / gonzalocarocontreras</t>
        </is>
      </c>
      <c r="B9" s="6" t="inlineStr"/>
      <c r="C9" s="6" t="inlineStr"/>
      <c r="D9" s="6" t="inlineStr"/>
      <c r="E9" s="6" t="inlineStr">
        <is>
          <t>Llamada agendada</t>
        </is>
      </c>
      <c r="F9" s="6" t="inlineStr"/>
      <c r="G9" s="6" t="inlineStr">
        <is>
          <t>Sí</t>
        </is>
      </c>
      <c r="H9" s="12" t="inlineStr">
        <is>
          <t>Confirmar hora propuesta: jueves 8am</t>
        </is>
      </c>
      <c r="I9" s="6" t="inlineStr">
        <is>
          <t>2026-08</t>
        </is>
      </c>
      <c r="J9" s="12" t="inlineStr">
        <is>
          <t>Lead muy caliente, solo falta confirmar</t>
        </is>
      </c>
    </row>
    <row r="10">
      <c r="A10" s="6" t="inlineStr">
        <is>
          <t>Tania Coeto / tania_coeto</t>
        </is>
      </c>
      <c r="B10" s="6" t="inlineStr"/>
      <c r="C10" s="6" t="inlineStr"/>
      <c r="D10" s="6" t="inlineStr"/>
      <c r="E10" s="6" t="inlineStr">
        <is>
          <t>Llamada agendada</t>
        </is>
      </c>
      <c r="F10" s="6" t="inlineStr"/>
      <c r="G10" s="6" t="inlineStr">
        <is>
          <t>Sí</t>
        </is>
      </c>
      <c r="H10" s="12" t="inlineStr">
        <is>
          <t>Confirmar día para videollamada</t>
        </is>
      </c>
      <c r="I10" s="6" t="inlineStr">
        <is>
          <t>2026-08</t>
        </is>
      </c>
      <c r="J10" s="12" t="inlineStr">
        <is>
          <t>Intentaba cerrar día ('hoy o mañana'), se quedó sin respuesta</t>
        </is>
      </c>
    </row>
    <row r="11">
      <c r="A11" s="6" t="inlineStr">
        <is>
          <t>Barbara Cuellar / bcshisha</t>
        </is>
      </c>
      <c r="B11" s="6" t="inlineStr">
        <is>
          <t>13</t>
        </is>
      </c>
      <c r="C11" s="6" t="inlineStr">
        <is>
          <t>Reino Unido (interés original)</t>
        </is>
      </c>
      <c r="D11" s="6" t="inlineStr">
        <is>
          <t>Fan Manchester City</t>
        </is>
      </c>
      <c r="E11" s="6" t="inlineStr">
        <is>
          <t>Cualificado</t>
        </is>
      </c>
      <c r="F11" s="6" t="inlineStr">
        <is>
          <t>No</t>
        </is>
      </c>
      <c r="G11" s="6" t="inlineStr">
        <is>
          <t>Parcial</t>
        </is>
      </c>
      <c r="H11" s="12" t="inlineStr">
        <is>
          <t>Enviar explicación del proceso EEUU (nunca mencionar University Soccer)</t>
        </is>
      </c>
      <c r="I11" s="6" t="inlineStr">
        <is>
          <t>2026-08</t>
        </is>
      </c>
      <c r="J11" s="12" t="inlineStr">
        <is>
          <t>Originalmente pedía Inglaterra, aceptó explorar vía EEUU</t>
        </is>
      </c>
    </row>
    <row r="12" ht="75" customHeight="1">
      <c r="A12" s="6" t="inlineStr">
        <is>
          <t>Omar Escamilla / omare815 — CONFIRMADO mismo lead que WhatsApp +52 1 81 3408 2672 (Gabriel y Rafael)</t>
        </is>
      </c>
      <c r="B12" s="6" t="inlineStr">
        <is>
          <t>17</t>
        </is>
      </c>
      <c r="C12" s="6" t="inlineStr">
        <is>
          <t>México (Monterrey, 2h de la frontera con Texas)</t>
        </is>
      </c>
      <c r="D12" s="6" t="inlineStr">
        <is>
          <t>Gemelos Gabriel (lateral izquierdo, 1.82m) y Rafael (medio, 1.82m) — Club Dallas FC filial México, titulares, buen nivel según el padre</t>
        </is>
      </c>
      <c r="E12" s="6" t="inlineStr">
        <is>
          <t>Llamada realizada</t>
        </is>
      </c>
      <c r="F12" s="6" t="inlineStr">
        <is>
          <t>Tienen vídeo del año pasado + uno actualizado en camino (semanas)</t>
        </is>
      </c>
      <c r="G12" s="6" t="inlineStr">
        <is>
          <t>Sí — edad, nivel y plazo (agosto 2027) confirmados por el padre</t>
        </is>
      </c>
      <c r="H12" s="12" t="inlineStr">
        <is>
          <t>Esperando 'okay' de la familia para mandar evaluación/propuesta. Seguimiento suave si no hay respuesta antes del viernes 19/09/2026 (fin de semana según Joel). Confirmar con Joel si ya tiene el vídeo para tenerlo listo antes de que llegue el okay</t>
        </is>
      </c>
      <c r="I12" s="6" t="inlineStr">
        <is>
          <t>2026-09-15 (llamada)</t>
        </is>
      </c>
      <c r="J12" s="12"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t>
        </is>
      </c>
    </row>
    <row r="13">
      <c r="A13" s="6" t="inlineStr">
        <is>
          <t>Angelica Suarez Rivera / angelicamiami</t>
        </is>
      </c>
      <c r="B13" s="6" t="inlineStr">
        <is>
          <t>10</t>
        </is>
      </c>
      <c r="C13" s="6" t="inlineStr">
        <is>
          <t>EEUU (Miami)</t>
        </is>
      </c>
      <c r="D13" s="6" t="inlineStr"/>
      <c r="E13" s="6" t="inlineStr">
        <is>
          <t>Cualificado</t>
        </is>
      </c>
      <c r="F13" s="6" t="inlineStr">
        <is>
          <t>No</t>
        </is>
      </c>
      <c r="G13" s="6" t="inlineStr">
        <is>
          <t>Parcial — edad muy temprana para evaluar</t>
        </is>
      </c>
      <c r="H13" s="12" t="inlineStr">
        <is>
          <t>Enviar guia-becas.md</t>
        </is>
      </c>
      <c r="I13" s="6" t="inlineStr">
        <is>
          <t>2026-08</t>
        </is>
      </c>
      <c r="J13" s="12" t="inlineStr">
        <is>
          <t>Pidió la guía explícitamente</t>
        </is>
      </c>
    </row>
    <row r="14">
      <c r="A14" s="6" t="inlineStr">
        <is>
          <t>Ana Aida Uribe / aauribe</t>
        </is>
      </c>
      <c r="B14" s="6" t="inlineStr"/>
      <c r="C14" s="6" t="inlineStr"/>
      <c r="D14" s="6" t="inlineStr">
        <is>
          <t>Entra a último año en agosto, gradúa mayo 2027</t>
        </is>
      </c>
      <c r="E14" s="6" t="inlineStr">
        <is>
          <t>Cualificado</t>
        </is>
      </c>
      <c r="F14" s="6" t="inlineStr">
        <is>
          <t>No</t>
        </is>
      </c>
      <c r="G14" s="6" t="inlineStr">
        <is>
          <t>Sí, pero enfriado</t>
        </is>
      </c>
      <c r="H14" s="12" t="inlineStr">
        <is>
          <t>Reactivar — el enlace genérico anterior no tuvo CTA claro</t>
        </is>
      </c>
      <c r="I14" s="6" t="inlineStr">
        <is>
          <t>2026-08</t>
        </is>
      </c>
      <c r="J14" s="12" t="inlineStr">
        <is>
          <t>Conversación avanzada que se enfrió</t>
        </is>
      </c>
    </row>
    <row r="15">
      <c r="A15" s="6" t="inlineStr">
        <is>
          <t>Jeinz Alzate / jeinzalzate</t>
        </is>
      </c>
      <c r="B15" s="6" t="inlineStr">
        <is>
          <t>14</t>
        </is>
      </c>
      <c r="C15" s="6" t="inlineStr">
        <is>
          <t>EEUU (Florida)</t>
        </is>
      </c>
      <c r="D15" s="6" t="inlineStr">
        <is>
          <t>Terminó temporada en academia</t>
        </is>
      </c>
      <c r="E15" s="6" t="inlineStr">
        <is>
          <t>Cualificado</t>
        </is>
      </c>
      <c r="F15" s="6" t="inlineStr">
        <is>
          <t>No</t>
        </is>
      </c>
      <c r="G15" s="6" t="inlineStr">
        <is>
          <t>Parcial — edad temprana</t>
        </is>
      </c>
      <c r="H15" s="12" t="inlineStr">
        <is>
          <t>Seguir conversación</t>
        </is>
      </c>
      <c r="I15" s="6" t="inlineStr">
        <is>
          <t>2026-08</t>
        </is>
      </c>
      <c r="J15" s="12" t="inlineStr"/>
    </row>
    <row r="16">
      <c r="A16" s="6" t="inlineStr">
        <is>
          <t>Anita / ani_0487</t>
        </is>
      </c>
      <c r="B16" s="6" t="inlineStr">
        <is>
          <t>16</t>
        </is>
      </c>
      <c r="C16" s="6" t="inlineStr"/>
      <c r="D16" s="6" t="inlineStr">
        <is>
          <t>Delantero, estudiando</t>
        </is>
      </c>
      <c r="E16" s="6" t="inlineStr">
        <is>
          <t>Cualificado</t>
        </is>
      </c>
      <c r="F16" s="6" t="inlineStr">
        <is>
          <t>No</t>
        </is>
      </c>
      <c r="G16" s="6" t="inlineStr">
        <is>
          <t>Sí</t>
        </is>
      </c>
      <c r="H16" s="12" t="inlineStr">
        <is>
          <t>Responder pregunta directa sobre inscripción</t>
        </is>
      </c>
      <c r="I16" s="6" t="inlineStr">
        <is>
          <t>2026-08</t>
        </is>
      </c>
      <c r="J16" s="12" t="inlineStr"/>
    </row>
    <row r="17">
      <c r="A17" s="6" t="inlineStr">
        <is>
          <t>Margarita Vanegas / margaritavanegasoficial</t>
        </is>
      </c>
      <c r="B17" s="6" t="inlineStr"/>
      <c r="C17" s="6" t="inlineStr">
        <is>
          <t>Colombia</t>
        </is>
      </c>
      <c r="D17" s="6" t="inlineStr">
        <is>
          <t>Baloncesto — armador zurdo</t>
        </is>
      </c>
      <c r="E17" s="6" t="inlineStr">
        <is>
          <t>Cualificado</t>
        </is>
      </c>
      <c r="F17" s="6" t="inlineStr">
        <is>
          <t>No</t>
        </is>
      </c>
      <c r="G17" s="6" t="inlineStr">
        <is>
          <t>Sí</t>
        </is>
      </c>
      <c r="H17" s="12" t="inlineStr">
        <is>
          <t>Pedir vídeo y notas académicas</t>
        </is>
      </c>
      <c r="I17" s="6" t="inlineStr">
        <is>
          <t>2026-08</t>
        </is>
      </c>
      <c r="J17" s="12" t="inlineStr">
        <is>
          <t>Confirmado: Always Up sí trabaja otros deportes, no solo fútbol</t>
        </is>
      </c>
    </row>
    <row r="18">
      <c r="A18" s="6" t="inlineStr">
        <is>
          <t>Edwin Serrato / edwinserrato84</t>
        </is>
      </c>
      <c r="B18" s="6" t="inlineStr">
        <is>
          <t>13</t>
        </is>
      </c>
      <c r="C18" s="6" t="inlineStr">
        <is>
          <t>Colombia</t>
        </is>
      </c>
      <c r="D18" s="6" t="inlineStr">
        <is>
          <t>Interior/volante medio</t>
        </is>
      </c>
      <c r="E18" s="6" t="inlineStr">
        <is>
          <t>Cualificado</t>
        </is>
      </c>
      <c r="F18" s="6" t="inlineStr">
        <is>
          <t>Sí</t>
        </is>
      </c>
      <c r="G18" s="6" t="inlineStr">
        <is>
          <t>Parcial — falta situación académica</t>
        </is>
      </c>
      <c r="H18" s="12" t="inlineStr">
        <is>
          <t>Pedir situación académica</t>
        </is>
      </c>
      <c r="I18" s="6" t="inlineStr">
        <is>
          <t>2026-08</t>
        </is>
      </c>
      <c r="J18" s="12" t="inlineStr">
        <is>
          <t>Cuenta confirmada por Joel — verificar en próximo barrido</t>
        </is>
      </c>
    </row>
    <row r="19">
      <c r="A19" s="6" t="inlineStr">
        <is>
          <t>Juan Roberto / juan_roberto_16</t>
        </is>
      </c>
      <c r="B19" s="6" t="inlineStr"/>
      <c r="C19" s="6" t="inlineStr"/>
      <c r="D19" s="6" t="inlineStr"/>
      <c r="E19" s="6" t="inlineStr">
        <is>
          <t>Nuevo</t>
        </is>
      </c>
      <c r="F19" s="6" t="inlineStr">
        <is>
          <t>No</t>
        </is>
      </c>
      <c r="G19" s="6" t="inlineStr">
        <is>
          <t>No — respuesta muy breve</t>
        </is>
      </c>
      <c r="H19" s="12" t="inlineStr">
        <is>
          <t>Verificar que el mensaje le llegó bien (aviso de cuenta restringida)</t>
        </is>
      </c>
      <c r="I19" s="6" t="inlineStr">
        <is>
          <t>2026-08</t>
        </is>
      </c>
      <c r="J19" s="12" t="inlineStr"/>
    </row>
    <row r="20" ht="60" customHeight="1">
      <c r="A20" s="6" t="inlineStr">
        <is>
          <t>Daniel (apellido/@ de Instagram pendiente de confirmar)</t>
        </is>
      </c>
      <c r="B20" s="6" t="inlineStr">
        <is>
          <t>17 (nacido sept. 2009)</t>
        </is>
      </c>
      <c r="C20" s="6" t="inlineStr">
        <is>
          <t>España (recién mudado desde EEUU, ciudad por confirmar)</t>
        </is>
      </c>
      <c r="D20" s="6" t="inlineStr">
        <is>
          <t>Jugó MLS NEXT U17 el año pasado en EEUU (nivel alto) — posición por confirmar</t>
        </is>
      </c>
      <c r="E20" s="6" t="inlineStr">
        <is>
          <t>Cualificado</t>
        </is>
      </c>
      <c r="F20" s="6" t="inlineStr">
        <is>
          <t>No pedido todavía</t>
        </is>
      </c>
      <c r="G20" s="6" t="inlineStr">
        <is>
          <t>Sí — nivel MLS NEXT es señal fuerte, falta confirmar posición y club actual</t>
        </is>
      </c>
      <c r="H20" s="12" t="inlineStr">
        <is>
          <t>Esperar respuesta a las 3 preguntas (posición / ubicación en España / club actual) — probablemente avanza rápido a Calendly, es un lead fuerte</t>
        </is>
      </c>
      <c r="I20" s="6" t="inlineStr">
        <is>
          <t>2026-09-21</t>
        </is>
      </c>
      <c r="J20" s="12" t="inlineStr">
        <is>
          <t>Pregunta genuina sobre 1º vs 2º de Bachillerato y elegibilidad NCAA — no se improvisó respuesta, se remitió a la evaluación completa con el equipo especializado. Edad+plazo+nivel ya fuertes antes incluso de pedir vídeo.</t>
        </is>
      </c>
    </row>
  </sheetData>
  <autoFilter ref="A5:J19"/>
  <mergeCells count="3">
    <mergeCell ref="A3:J4"/>
    <mergeCell ref="A1:J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8" defaultRowHeight="15"/>
  <cols>
    <col width="14" customWidth="1" min="1" max="1"/>
    <col width="20" customWidth="1" min="2" max="2"/>
    <col width="26" customWidth="1" min="3" max="3"/>
    <col width="30" customWidth="1" min="4" max="4"/>
    <col width="18" customWidth="1" min="5" max="5"/>
    <col width="40" customWidth="1" min="6" max="6"/>
  </cols>
  <sheetData>
    <row r="1">
      <c r="A1" s="1" t="inlineStr">
        <is>
          <t>LinkedIn — plan diario</t>
        </is>
      </c>
    </row>
    <row r="2">
      <c r="A2" s="2" t="inlineStr">
        <is>
          <t>Rellenar cada día que trabajes outreach.</t>
        </is>
      </c>
    </row>
    <row r="3" ht="60" customHeight="1">
      <c r="A3" s="10" t="inlineStr">
        <is>
          <t>Pestaña plantilla — se activa cuando el perfil de LinkedIn esté pulido (roadmap-maestro.md tarea #8, sesión conjunta pendiente con Claude in Chrome). Reglas de mensaje: ver plan-ventas-maestro.md sección 4 — siempre a una persona con cargo concreto, con una señal real (post/torneo/resultado), nunca plantilla fría.</t>
        </is>
      </c>
    </row>
    <row r="4"/>
    <row r="5">
      <c r="A5" s="5" t="inlineStr">
        <is>
          <t>Fecha</t>
        </is>
      </c>
      <c r="B5" s="5" t="inlineStr">
        <is>
          <t>Emails enviados (meta 5)</t>
        </is>
      </c>
      <c r="C5" s="5" t="inlineStr">
        <is>
          <t>Búsquedas nuevas cualificadas (meta 5)</t>
        </is>
      </c>
      <c r="D5" s="5" t="inlineStr">
        <is>
          <t>Conexiones LinkedIn con mensaje personalizado (meta 5)</t>
        </is>
      </c>
      <c r="E5" s="5" t="inlineStr">
        <is>
          <t>Respuestas recibidas</t>
        </is>
      </c>
      <c r="F5" s="5" t="inlineStr">
        <is>
          <t>Notas</t>
        </is>
      </c>
    </row>
    <row r="6">
      <c r="A6" s="6" t="inlineStr"/>
      <c r="B6" s="6" t="inlineStr"/>
      <c r="C6" s="6" t="inlineStr"/>
      <c r="D6" s="6" t="inlineStr"/>
      <c r="E6" s="6" t="inlineStr"/>
      <c r="F6" s="12" t="inlineStr"/>
    </row>
    <row r="7">
      <c r="A7" s="6" t="inlineStr"/>
      <c r="B7" s="6" t="inlineStr"/>
      <c r="C7" s="6" t="inlineStr"/>
      <c r="D7" s="6" t="inlineStr"/>
      <c r="E7" s="6" t="inlineStr"/>
      <c r="F7" s="12" t="inlineStr"/>
    </row>
    <row r="8">
      <c r="A8" s="6" t="inlineStr"/>
      <c r="B8" s="6" t="inlineStr"/>
      <c r="C8" s="6" t="inlineStr"/>
      <c r="D8" s="6" t="inlineStr"/>
      <c r="E8" s="6" t="inlineStr"/>
      <c r="F8" s="12" t="inlineStr"/>
    </row>
    <row r="9">
      <c r="A9" s="6" t="inlineStr"/>
      <c r="B9" s="6" t="inlineStr"/>
      <c r="C9" s="6" t="inlineStr"/>
      <c r="D9" s="6" t="inlineStr"/>
      <c r="E9" s="6" t="inlineStr"/>
      <c r="F9" s="12" t="inlineStr"/>
    </row>
    <row r="10">
      <c r="A10" s="6" t="inlineStr"/>
      <c r="B10" s="6" t="inlineStr"/>
      <c r="C10" s="6" t="inlineStr"/>
      <c r="D10" s="6" t="inlineStr"/>
      <c r="E10" s="6" t="inlineStr"/>
      <c r="F10" s="12" t="inlineStr"/>
    </row>
    <row r="11">
      <c r="A11" s="6" t="inlineStr"/>
      <c r="B11" s="6" t="inlineStr"/>
      <c r="C11" s="6" t="inlineStr"/>
      <c r="D11" s="6" t="inlineStr"/>
      <c r="E11" s="6" t="inlineStr"/>
      <c r="F11" s="12" t="inlineStr"/>
    </row>
    <row r="12">
      <c r="A12" s="6" t="inlineStr"/>
      <c r="B12" s="6" t="inlineStr"/>
      <c r="C12" s="6" t="inlineStr"/>
      <c r="D12" s="6" t="inlineStr"/>
      <c r="E12" s="6" t="inlineStr"/>
      <c r="F12" s="12" t="inlineStr"/>
    </row>
    <row r="13">
      <c r="A13" s="6" t="inlineStr">
        <is>
          <t>Total semana</t>
        </is>
      </c>
      <c r="B13" s="6">
        <f>SUM(B6:B12)</f>
        <v/>
      </c>
      <c r="C13" s="6">
        <f>SUM(C6:C12)</f>
        <v/>
      </c>
      <c r="D13" s="6">
        <f>SUM(D6:D12)</f>
        <v/>
      </c>
      <c r="E13" s="6">
        <f>SUM(E6:E12)</f>
        <v/>
      </c>
      <c r="F13" s="6" t="n"/>
    </row>
  </sheetData>
  <mergeCells count="3">
    <mergeCell ref="A2:F2"/>
    <mergeCell ref="A3:F4"/>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8" defaultRowHeight="15"/>
  <cols>
    <col width="14" customWidth="1" min="1" max="1"/>
    <col width="26" customWidth="1" min="2" max="2"/>
    <col width="40" customWidth="1" min="3" max="3"/>
    <col width="22" customWidth="1" min="4" max="4"/>
    <col width="40" customWidth="1" min="5" max="5"/>
    <col width="20" customWidth="1" min="6" max="6"/>
  </cols>
  <sheetData>
    <row r="1">
      <c r="A1" s="1" t="inlineStr">
        <is>
          <t>Oportunidades y notas sueltas</t>
        </is>
      </c>
    </row>
    <row r="2">
      <c r="A2" s="2" t="inlineStr">
        <is>
          <t>Ideas que surgen investigando, sin operativa de venta propia todavía.</t>
        </is>
      </c>
    </row>
    <row r="3" ht="30" customHeight="1">
      <c r="A3" s="10" t="inlineStr">
        <is>
          <t>Backlog ligero para líneas que aún no tienen operativa propia de venta — no crear pestañas dedicadas hasta que Joel las eleve de prioridad (ver roadmap-maestro.md).</t>
        </is>
      </c>
    </row>
    <row r="4">
      <c r="A4" s="5" t="inlineStr">
        <is>
          <t>Fecha</t>
        </is>
      </c>
      <c r="B4" s="5" t="inlineStr">
        <is>
          <t>Área</t>
        </is>
      </c>
      <c r="C4" s="5" t="inlineStr">
        <is>
          <t>Idea/Oportunidad</t>
        </is>
      </c>
      <c r="D4" s="5" t="inlineStr">
        <is>
          <t>Origen</t>
        </is>
      </c>
      <c r="E4" s="5" t="inlineStr">
        <is>
          <t>Siguiente paso</t>
        </is>
      </c>
      <c r="F4" s="5" t="inlineStr">
        <is>
          <t>Estado</t>
        </is>
      </c>
    </row>
    <row r="5">
      <c r="A5" s="6" t="inlineStr">
        <is>
          <t>2026-08</t>
        </is>
      </c>
      <c r="B5" s="6" t="inlineStr">
        <is>
          <t>International Program (Real Sociedad)</t>
        </is>
      </c>
      <c r="C5" s="12" t="inlineStr">
        <is>
          <t>Cerrar % de comisión con la Real Sociedad</t>
        </is>
      </c>
      <c r="D5" s="6" t="inlineStr">
        <is>
          <t>roadmap-maestro.md #6</t>
        </is>
      </c>
      <c r="E5" s="12" t="inlineStr">
        <is>
          <t>Bajado de prioridad — no mueve el cuello de botella actual</t>
        </is>
      </c>
      <c r="F5" s="6" t="inlineStr">
        <is>
          <t>En espera</t>
        </is>
      </c>
    </row>
    <row r="6">
      <c r="A6" s="6" t="inlineStr">
        <is>
          <t>2026-08</t>
        </is>
      </c>
      <c r="B6" s="6" t="inlineStr">
        <is>
          <t>Puerto Rico / SADE Soccer Academy</t>
        </is>
      </c>
      <c r="C6" s="12" t="inlineStr">
        <is>
          <t>Showcase conectado a la Real Sociedad, facilitado por David</t>
        </is>
      </c>
      <c r="D6" s="6" t="inlineStr">
        <is>
          <t>lineas-de-negocio.md</t>
        </is>
      </c>
      <c r="E6" s="12" t="inlineStr">
        <is>
          <t>Confirmado que pasa por Always Up — seguir según avance David</t>
        </is>
      </c>
      <c r="F6" s="6" t="inlineStr">
        <is>
          <t>En marcha (fuera de Joel)</t>
        </is>
      </c>
    </row>
    <row r="7">
      <c r="A7" s="6" t="inlineStr">
        <is>
          <t>2026-07</t>
        </is>
      </c>
      <c r="B7" s="6" t="inlineStr">
        <is>
          <t>Alemania/España</t>
        </is>
      </c>
      <c r="C7" s="12" t="inlineStr">
        <is>
          <t>Oportunidades profesionales — objetivo 2027</t>
        </is>
      </c>
      <c r="D7" s="6" t="inlineStr">
        <is>
          <t>CLAUDE.md</t>
        </is>
      </c>
      <c r="E7" s="12" t="inlineStr">
        <is>
          <t>Sin estructurar todavía, no es foco actual</t>
        </is>
      </c>
      <c r="F7" s="6" t="inlineStr">
        <is>
          <t>Sin empezar</t>
        </is>
      </c>
    </row>
    <row r="8">
      <c r="A8" s="6" t="inlineStr">
        <is>
          <t>2026-07</t>
        </is>
      </c>
      <c r="B8" s="6" t="inlineStr">
        <is>
          <t>Always Up Player Development</t>
        </is>
      </c>
      <c r="C8" s="12" t="inlineStr">
        <is>
          <t>Academia de formación de jugadores (línea 6)</t>
        </is>
      </c>
      <c r="D8" s="6" t="inlineStr">
        <is>
          <t>lineas-de-negocio.md</t>
        </is>
      </c>
      <c r="E8" s="12" t="inlineStr">
        <is>
          <t>Ritmo propio, ligado a marca personal — sesión aparte</t>
        </is>
      </c>
      <c r="F8" s="6" t="inlineStr">
        <is>
          <t>Sin empezar</t>
        </is>
      </c>
    </row>
    <row r="9">
      <c r="A9" s="6" t="inlineStr">
        <is>
          <t>2026-08-29</t>
        </is>
      </c>
      <c r="B9" s="6" t="inlineStr">
        <is>
          <t>Segmento B (NCAA)</t>
        </is>
      </c>
      <c r="C9" s="12" t="inlineStr">
        <is>
          <t>Programas NCAA D2/D3 sin partnership de tours visible</t>
        </is>
      </c>
      <c r="D9" s="6" t="inlineStr">
        <is>
          <t>plan-ventas-maestro.md</t>
        </is>
      </c>
      <c r="E9" s="12" t="inlineStr">
        <is>
          <t>Requiere sesión de investigación dedicada — búsqueda rápida no encontró candidatos concretos</t>
        </is>
      </c>
      <c r="F9" s="6"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2026-08-30T00:11:47Z</dcterms:created>
  <dcterms:modified xsi:type="dcterms:W3CDTF">2026-09-22T00:27:27Z</dcterms:modified>
</cp:coreProperties>
</file>